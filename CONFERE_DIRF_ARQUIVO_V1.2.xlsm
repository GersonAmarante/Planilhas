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TENDIMENTOS\ZZ_MACROS\DIRF\ANTIGOS\"/>
    </mc:Choice>
  </mc:AlternateContent>
  <bookViews>
    <workbookView xWindow="0" yWindow="0" windowWidth="20490" windowHeight="8115" tabRatio="958" firstSheet="7" activeTab="26"/>
  </bookViews>
  <sheets>
    <sheet name="FIMDIRF" sheetId="3" r:id="rId1"/>
    <sheet name="RDTPSE" sheetId="60" r:id="rId2"/>
    <sheet name="DTPSE" sheetId="4" r:id="rId3"/>
    <sheet name="TPSE" sheetId="5" r:id="rId4"/>
    <sheet name="OPSE" sheetId="6" r:id="rId5"/>
    <sheet name="RIRSR" sheetId="59" r:id="rId6"/>
    <sheet name="RIPSTS" sheetId="58" r:id="rId7"/>
    <sheet name="RIL96" sheetId="9" r:id="rId8"/>
    <sheet name="RIBMR_3562" sheetId="57" state="hidden" r:id="rId9"/>
    <sheet name="RIAP_3562" sheetId="56" state="hidden" r:id="rId10"/>
    <sheet name="RIIRP_3562" sheetId="55" state="hidden" r:id="rId11"/>
    <sheet name="RIDAC_3562" sheetId="54" state="hidden" r:id="rId12"/>
    <sheet name="ESDJ_3562" sheetId="52" state="hidden" r:id="rId13"/>
    <sheet name="ESIR_3562" sheetId="51" state="hidden" r:id="rId14"/>
    <sheet name="ESPA_3562" sheetId="50" state="hidden" r:id="rId15"/>
    <sheet name="ESDP_3562" sheetId="49" state="hidden" r:id="rId16"/>
    <sheet name="ESPP_3562" sheetId="48" state="hidden" r:id="rId17"/>
    <sheet name="ESPO_3562" sheetId="47" state="hidden" r:id="rId18"/>
    <sheet name="ESRT_3562" sheetId="46" state="hidden" r:id="rId19"/>
    <sheet name="CJAA_3562" sheetId="45" state="hidden" r:id="rId20"/>
    <sheet name="CJAC_3562" sheetId="44" state="hidden" r:id="rId21"/>
    <sheet name="RTIRF_3562" sheetId="43" r:id="rId22"/>
    <sheet name="RTPA_3562" sheetId="42" r:id="rId23"/>
    <sheet name="RTDP_3562" sheetId="65" state="hidden" r:id="rId24"/>
    <sheet name="RTRT_3562" sheetId="61" r:id="rId25"/>
    <sheet name="BPFDEC_3562" sheetId="63" r:id="rId26"/>
    <sheet name="RIBMR_0561" sheetId="80" r:id="rId27"/>
    <sheet name="RIAP_0561" sheetId="79" r:id="rId28"/>
    <sheet name="RIIRP_0561" sheetId="78" r:id="rId29"/>
    <sheet name="RIDAC_0561" sheetId="77" r:id="rId30"/>
    <sheet name="ESDJ_0561" sheetId="76" r:id="rId31"/>
    <sheet name="ESPA_0561" sheetId="74" r:id="rId32"/>
    <sheet name="ESDP_0561" sheetId="73" r:id="rId33"/>
    <sheet name="ESPP_0561" sheetId="72" r:id="rId34"/>
    <sheet name="ESPO_0561" sheetId="71" r:id="rId35"/>
    <sheet name="ESIR__0561" sheetId="75" r:id="rId36"/>
    <sheet name="ESRT_0561" sheetId="70" r:id="rId37"/>
    <sheet name="CJAA_0561" sheetId="69" r:id="rId38"/>
    <sheet name="CJAC_0561" sheetId="68" r:id="rId39"/>
    <sheet name="RTIRF_0561" sheetId="67" r:id="rId40"/>
    <sheet name="RTPA_0561" sheetId="66" r:id="rId41"/>
    <sheet name="RTDP_0561" sheetId="41" r:id="rId42"/>
    <sheet name="RTPP_0561" sheetId="40" r:id="rId43"/>
    <sheet name="RTPO_0561" sheetId="39" r:id="rId44"/>
    <sheet name="RTRT_0561" sheetId="28" r:id="rId45"/>
    <sheet name="BPJDEC" sheetId="35" state="hidden" r:id="rId46"/>
    <sheet name="BPFDEC_0561" sheetId="29" r:id="rId47"/>
    <sheet name="IDREC" sheetId="30" r:id="rId48"/>
    <sheet name="DECPJ" sheetId="31" r:id="rId49"/>
    <sheet name="DECPF" sheetId="34" state="hidden" r:id="rId50"/>
    <sheet name="RESPO" sheetId="32" r:id="rId51"/>
    <sheet name="DIRF" sheetId="33" r:id="rId5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28" l="1"/>
  <c r="M2" i="28"/>
  <c r="L2" i="28"/>
  <c r="K2" i="28"/>
  <c r="J2" i="28"/>
  <c r="I2" i="28"/>
  <c r="H2" i="28"/>
  <c r="G2" i="28"/>
  <c r="F2" i="28"/>
  <c r="E2" i="28"/>
  <c r="D2" i="28"/>
  <c r="C2" i="28"/>
  <c r="B2" i="28"/>
  <c r="N2" i="39"/>
  <c r="M2" i="39"/>
  <c r="L2" i="39"/>
  <c r="K2" i="39"/>
  <c r="J2" i="39"/>
  <c r="I2" i="39"/>
  <c r="H2" i="39"/>
  <c r="G2" i="39"/>
  <c r="F2" i="39"/>
  <c r="E2" i="39"/>
  <c r="D2" i="39"/>
  <c r="C2" i="39"/>
  <c r="B2" i="39"/>
  <c r="N2" i="40"/>
  <c r="M2" i="40"/>
  <c r="L2" i="40"/>
  <c r="K2" i="40"/>
  <c r="J2" i="40"/>
  <c r="I2" i="40"/>
  <c r="H2" i="40"/>
  <c r="G2" i="40"/>
  <c r="F2" i="40"/>
  <c r="E2" i="40"/>
  <c r="D2" i="40"/>
  <c r="C2" i="40"/>
  <c r="B2" i="40"/>
  <c r="N2" i="41"/>
  <c r="M2" i="41"/>
  <c r="L2" i="41"/>
  <c r="K2" i="41"/>
  <c r="J2" i="41"/>
  <c r="I2" i="41"/>
  <c r="H2" i="41"/>
  <c r="G2" i="41"/>
  <c r="F2" i="41"/>
  <c r="E2" i="41"/>
  <c r="D2" i="41"/>
  <c r="C2" i="41"/>
  <c r="B2" i="41"/>
  <c r="N2" i="66"/>
  <c r="M2" i="66"/>
  <c r="L2" i="66"/>
  <c r="K2" i="66"/>
  <c r="J2" i="66"/>
  <c r="I2" i="66"/>
  <c r="H2" i="66"/>
  <c r="G2" i="66"/>
  <c r="F2" i="66"/>
  <c r="E2" i="66"/>
  <c r="D2" i="66"/>
  <c r="C2" i="66"/>
  <c r="B2" i="66"/>
  <c r="N2" i="67"/>
  <c r="M2" i="67"/>
  <c r="L2" i="67"/>
  <c r="K2" i="67"/>
  <c r="J2" i="67"/>
  <c r="I2" i="67"/>
  <c r="H2" i="67"/>
  <c r="G2" i="67"/>
  <c r="F2" i="67"/>
  <c r="E2" i="67"/>
  <c r="D2" i="67"/>
  <c r="C2" i="67"/>
  <c r="B2" i="67"/>
  <c r="N2" i="68"/>
  <c r="M2" i="68"/>
  <c r="L2" i="68"/>
  <c r="K2" i="68"/>
  <c r="J2" i="68"/>
  <c r="I2" i="68"/>
  <c r="H2" i="68"/>
  <c r="G2" i="68"/>
  <c r="F2" i="68"/>
  <c r="E2" i="68"/>
  <c r="D2" i="68"/>
  <c r="C2" i="68"/>
  <c r="B2" i="68"/>
  <c r="N2" i="69"/>
  <c r="M2" i="69"/>
  <c r="L2" i="69"/>
  <c r="K2" i="69"/>
  <c r="J2" i="69"/>
  <c r="I2" i="69"/>
  <c r="H2" i="69"/>
  <c r="G2" i="69"/>
  <c r="F2" i="69"/>
  <c r="E2" i="69"/>
  <c r="D2" i="69"/>
  <c r="C2" i="69"/>
  <c r="B2" i="69"/>
  <c r="N2" i="70"/>
  <c r="M2" i="70"/>
  <c r="L2" i="70"/>
  <c r="K2" i="70"/>
  <c r="J2" i="70"/>
  <c r="I2" i="70"/>
  <c r="H2" i="70"/>
  <c r="G2" i="70"/>
  <c r="F2" i="70"/>
  <c r="E2" i="70"/>
  <c r="D2" i="70"/>
  <c r="C2" i="70"/>
  <c r="B2" i="70"/>
  <c r="N2" i="75"/>
  <c r="M2" i="75"/>
  <c r="L2" i="75"/>
  <c r="K2" i="75"/>
  <c r="J2" i="75"/>
  <c r="I2" i="75"/>
  <c r="H2" i="75"/>
  <c r="G2" i="75"/>
  <c r="F2" i="75"/>
  <c r="E2" i="75"/>
  <c r="D2" i="75"/>
  <c r="C2" i="75"/>
  <c r="B2" i="75"/>
  <c r="N2" i="71"/>
  <c r="M2" i="71"/>
  <c r="L2" i="71"/>
  <c r="K2" i="71"/>
  <c r="J2" i="71"/>
  <c r="I2" i="71"/>
  <c r="H2" i="71"/>
  <c r="G2" i="71"/>
  <c r="F2" i="71"/>
  <c r="E2" i="71"/>
  <c r="D2" i="71"/>
  <c r="C2" i="71"/>
  <c r="B2" i="71"/>
  <c r="N2" i="72"/>
  <c r="M2" i="72"/>
  <c r="L2" i="72"/>
  <c r="K2" i="72"/>
  <c r="J2" i="72"/>
  <c r="I2" i="72"/>
  <c r="H2" i="72"/>
  <c r="G2" i="72"/>
  <c r="F2" i="72"/>
  <c r="E2" i="72"/>
  <c r="D2" i="72"/>
  <c r="C2" i="72"/>
  <c r="B2" i="72"/>
  <c r="N2" i="73"/>
  <c r="M2" i="73"/>
  <c r="L2" i="73"/>
  <c r="K2" i="73"/>
  <c r="J2" i="73"/>
  <c r="I2" i="73"/>
  <c r="H2" i="73"/>
  <c r="G2" i="73"/>
  <c r="F2" i="73"/>
  <c r="E2" i="73"/>
  <c r="D2" i="73"/>
  <c r="C2" i="73"/>
  <c r="B2" i="73"/>
  <c r="N2" i="74"/>
  <c r="M2" i="74"/>
  <c r="L2" i="74"/>
  <c r="K2" i="74"/>
  <c r="J2" i="74"/>
  <c r="I2" i="74"/>
  <c r="H2" i="74"/>
  <c r="G2" i="74"/>
  <c r="F2" i="74"/>
  <c r="E2" i="74"/>
  <c r="D2" i="74"/>
  <c r="C2" i="74"/>
  <c r="B2" i="74"/>
  <c r="N2" i="76"/>
  <c r="M2" i="76"/>
  <c r="L2" i="76"/>
  <c r="K2" i="76"/>
  <c r="J2" i="76"/>
  <c r="I2" i="76"/>
  <c r="H2" i="76"/>
  <c r="G2" i="76"/>
  <c r="F2" i="76"/>
  <c r="E2" i="76"/>
  <c r="D2" i="76"/>
  <c r="C2" i="76"/>
  <c r="B2" i="76"/>
  <c r="N2" i="77"/>
  <c r="M2" i="77"/>
  <c r="L2" i="77"/>
  <c r="K2" i="77"/>
  <c r="J2" i="77"/>
  <c r="I2" i="77"/>
  <c r="H2" i="77"/>
  <c r="G2" i="77"/>
  <c r="F2" i="77"/>
  <c r="E2" i="77"/>
  <c r="D2" i="77"/>
  <c r="C2" i="77"/>
  <c r="B2" i="77"/>
  <c r="N2" i="78"/>
  <c r="M2" i="78"/>
  <c r="L2" i="78"/>
  <c r="K2" i="78"/>
  <c r="J2" i="78"/>
  <c r="I2" i="78"/>
  <c r="H2" i="78"/>
  <c r="G2" i="78"/>
  <c r="F2" i="78"/>
  <c r="E2" i="78"/>
  <c r="D2" i="78"/>
  <c r="C2" i="78"/>
  <c r="B2" i="78"/>
  <c r="N2" i="79"/>
  <c r="M2" i="79"/>
  <c r="L2" i="79"/>
  <c r="K2" i="79"/>
  <c r="J2" i="79"/>
  <c r="I2" i="79"/>
  <c r="H2" i="79"/>
  <c r="G2" i="79"/>
  <c r="F2" i="79"/>
  <c r="E2" i="79"/>
  <c r="D2" i="79"/>
  <c r="C2" i="79"/>
  <c r="B2" i="79"/>
  <c r="N2" i="80"/>
  <c r="M2" i="80"/>
  <c r="L2" i="80"/>
  <c r="K2" i="80"/>
  <c r="J2" i="80"/>
  <c r="I2" i="80"/>
  <c r="H2" i="80"/>
  <c r="G2" i="80"/>
  <c r="F2" i="80"/>
  <c r="E2" i="80"/>
  <c r="D2" i="80"/>
  <c r="C2" i="80"/>
  <c r="B2" i="80"/>
  <c r="N2" i="61"/>
  <c r="M2" i="61"/>
  <c r="L2" i="61"/>
  <c r="K2" i="61"/>
  <c r="J2" i="61"/>
  <c r="I2" i="61"/>
  <c r="H2" i="61"/>
  <c r="G2" i="61"/>
  <c r="F2" i="61"/>
  <c r="E2" i="61"/>
  <c r="D2" i="61"/>
  <c r="C2" i="61"/>
  <c r="B2" i="61"/>
  <c r="N2" i="42"/>
  <c r="M2" i="42"/>
  <c r="L2" i="42"/>
  <c r="K2" i="42"/>
  <c r="J2" i="42"/>
  <c r="I2" i="42"/>
  <c r="H2" i="42"/>
  <c r="G2" i="42"/>
  <c r="F2" i="42"/>
  <c r="E2" i="42"/>
  <c r="D2" i="42"/>
  <c r="C2" i="42"/>
  <c r="B2" i="42"/>
  <c r="N2" i="43"/>
  <c r="M2" i="43"/>
  <c r="L2" i="43"/>
  <c r="K2" i="43"/>
  <c r="J2" i="43"/>
  <c r="I2" i="43"/>
  <c r="H2" i="43"/>
  <c r="G2" i="43"/>
  <c r="F2" i="43"/>
  <c r="E2" i="43"/>
  <c r="D2" i="43"/>
  <c r="C2" i="43"/>
  <c r="B2" i="43"/>
  <c r="B2" i="9"/>
  <c r="B2" i="58"/>
  <c r="B2" i="59"/>
  <c r="D2" i="5"/>
  <c r="G2" i="4"/>
  <c r="N2" i="65" l="1"/>
  <c r="M2" i="65"/>
  <c r="L2" i="65"/>
  <c r="K2" i="65"/>
  <c r="J2" i="65"/>
  <c r="I2" i="65"/>
  <c r="H2" i="65"/>
  <c r="G2" i="65"/>
  <c r="F2" i="65"/>
  <c r="E2" i="65"/>
  <c r="D2" i="65"/>
  <c r="C2" i="65"/>
  <c r="B2" i="65"/>
  <c r="E2" i="60"/>
  <c r="D2" i="60"/>
  <c r="N2" i="57"/>
  <c r="M2" i="57"/>
  <c r="L2" i="57"/>
  <c r="K2" i="57"/>
  <c r="J2" i="57"/>
  <c r="I2" i="57"/>
  <c r="H2" i="57"/>
  <c r="G2" i="57"/>
  <c r="F2" i="57"/>
  <c r="E2" i="57"/>
  <c r="D2" i="57"/>
  <c r="C2" i="57"/>
  <c r="B2" i="57"/>
  <c r="N2" i="56"/>
  <c r="M2" i="56"/>
  <c r="L2" i="56"/>
  <c r="K2" i="56"/>
  <c r="J2" i="56"/>
  <c r="I2" i="56"/>
  <c r="H2" i="56"/>
  <c r="G2" i="56"/>
  <c r="F2" i="56"/>
  <c r="E2" i="56"/>
  <c r="D2" i="56"/>
  <c r="C2" i="56"/>
  <c r="B2" i="56"/>
  <c r="B2" i="55"/>
  <c r="N2" i="55"/>
  <c r="M2" i="55"/>
  <c r="L2" i="55"/>
  <c r="K2" i="55"/>
  <c r="J2" i="55"/>
  <c r="I2" i="55"/>
  <c r="H2" i="55"/>
  <c r="G2" i="55"/>
  <c r="F2" i="55"/>
  <c r="E2" i="55"/>
  <c r="D2" i="55"/>
  <c r="C2" i="55"/>
  <c r="N2" i="54"/>
  <c r="M2" i="54"/>
  <c r="L2" i="54"/>
  <c r="K2" i="54"/>
  <c r="J2" i="54"/>
  <c r="I2" i="54"/>
  <c r="H2" i="54"/>
  <c r="G2" i="54"/>
  <c r="F2" i="54"/>
  <c r="E2" i="54"/>
  <c r="D2" i="54"/>
  <c r="C2" i="54"/>
  <c r="B2" i="54"/>
  <c r="N2" i="52"/>
  <c r="M2" i="52"/>
  <c r="L2" i="52"/>
  <c r="K2" i="52"/>
  <c r="J2" i="52"/>
  <c r="I2" i="52"/>
  <c r="H2" i="52"/>
  <c r="G2" i="52"/>
  <c r="F2" i="52"/>
  <c r="E2" i="52"/>
  <c r="D2" i="52"/>
  <c r="C2" i="52"/>
  <c r="B2" i="52"/>
  <c r="N2" i="51"/>
  <c r="M2" i="51"/>
  <c r="L2" i="51"/>
  <c r="K2" i="51"/>
  <c r="J2" i="51"/>
  <c r="I2" i="51"/>
  <c r="H2" i="51"/>
  <c r="G2" i="51"/>
  <c r="F2" i="51"/>
  <c r="E2" i="51"/>
  <c r="D2" i="51"/>
  <c r="C2" i="51"/>
  <c r="B2" i="51"/>
  <c r="B2" i="50"/>
  <c r="N2" i="50"/>
  <c r="M2" i="50"/>
  <c r="L2" i="50"/>
  <c r="K2" i="50"/>
  <c r="J2" i="50"/>
  <c r="I2" i="50"/>
  <c r="H2" i="50"/>
  <c r="G2" i="50"/>
  <c r="F2" i="50"/>
  <c r="E2" i="50"/>
  <c r="D2" i="50"/>
  <c r="C2" i="50"/>
  <c r="B2" i="49"/>
  <c r="N2" i="49"/>
  <c r="M2" i="49"/>
  <c r="L2" i="49"/>
  <c r="K2" i="49"/>
  <c r="J2" i="49"/>
  <c r="I2" i="49"/>
  <c r="H2" i="49"/>
  <c r="G2" i="49"/>
  <c r="F2" i="49"/>
  <c r="E2" i="49"/>
  <c r="D2" i="49"/>
  <c r="C2" i="49"/>
  <c r="B2" i="48"/>
  <c r="N2" i="48"/>
  <c r="M2" i="48"/>
  <c r="L2" i="48"/>
  <c r="K2" i="48"/>
  <c r="J2" i="48"/>
  <c r="I2" i="48"/>
  <c r="H2" i="48"/>
  <c r="G2" i="48"/>
  <c r="F2" i="48"/>
  <c r="E2" i="48"/>
  <c r="D2" i="48"/>
  <c r="C2" i="48"/>
  <c r="N2" i="47"/>
  <c r="M2" i="47"/>
  <c r="L2" i="47"/>
  <c r="K2" i="47"/>
  <c r="J2" i="47"/>
  <c r="I2" i="47"/>
  <c r="H2" i="47"/>
  <c r="G2" i="47"/>
  <c r="F2" i="47"/>
  <c r="E2" i="47"/>
  <c r="D2" i="47"/>
  <c r="C2" i="47"/>
  <c r="B2" i="47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N2" i="44"/>
  <c r="M2" i="44"/>
  <c r="L2" i="44"/>
  <c r="K2" i="44"/>
  <c r="J2" i="44"/>
  <c r="I2" i="44"/>
  <c r="H2" i="44"/>
  <c r="G2" i="44"/>
  <c r="F2" i="44"/>
  <c r="E2" i="44"/>
  <c r="D2" i="44"/>
  <c r="C2" i="44"/>
  <c r="B2" i="44"/>
</calcChain>
</file>

<file path=xl/comments1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Nome da pessoa física
até 60 posições;
Nome empresarial da
pessoa jurídica até 150
posições.</t>
        </r>
      </text>
    </comment>
  </commentList>
</comments>
</file>

<file path=xl/comments2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Preenchimento obrigatório para menores de 18 anos completos até 31 de dezembro
do ano-calendário da declaração, que não tenham informado o CPF.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>03 - Cônjuge/
Companheiro(a)
04 - Filho(a)
06 - Enteado(a)
08 - Pai/Mãe
10 - Agregado/Outros</t>
        </r>
      </text>
    </comment>
  </commentList>
</comments>
</file>

<file path=xl/comments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9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De acordo com a tabela de
códigos de receitas constante
na IN que dispõe sobre a Dirf.</t>
        </r>
      </text>
    </comment>
  </commentList>
</comments>
</file>

<file path=xl/comments40.xml><?xml version="1.0" encoding="utf-8"?>
<comments xmlns="http://schemas.openxmlformats.org/spreadsheetml/2006/main">
  <authors>
    <author>Gerson Pinto Amarante</author>
  </authors>
  <commentList>
    <comment ref="D2" authorId="0" shapeId="0">
      <text>
        <r>
          <rPr>
            <sz val="9"/>
            <color indexed="81"/>
            <rFont val="Segoe UI"/>
            <family val="2"/>
          </rPr>
          <t>0 - Pessoa jurídica de
direito privado.
1 - Órgãos, autarquias e
fundações da
administração pública
federal.
Sim
2 - Órgãos, autarquias e
fundações da
administração pública
estadual, municipal ou do
Distrito Federal.
3 – Empresa pública ou
sociedade de economia
mista federal.
4 - Empresa pública ou
sociedade de economia
mista estadual, municipal
ou do Distrito Federal.
8 – Entidade com
alteração de natureza
jurídica (uso restrito).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 xml:space="preserve">S - Sócio ostensivo.
N - Não é sócio ostensivo.
</t>
        </r>
      </text>
    </comment>
    <comment ref="G2" authorId="0" shapeId="0">
      <text>
        <r>
          <rPr>
            <sz val="9"/>
            <color indexed="81"/>
            <rFont val="Segoe UI"/>
            <family val="2"/>
          </rPr>
          <t>S - Depositário de crédito
decorrente de decisão
judicial.
N – Não é depositário de
crédito decorrente de
decisão judicial.</t>
        </r>
      </text>
    </comment>
    <comment ref="H2" authorId="0" shapeId="0">
      <text>
        <r>
          <rPr>
            <sz val="9"/>
            <color indexed="81"/>
            <rFont val="Segoe UI"/>
            <family val="2"/>
          </rPr>
          <t>S - Instituição
administradora ou
intermediadora de fundo
ou clube de investimento.
N – Não é instituição
administradora ou
intermediadora de fundo
ou clube de investimento.</t>
        </r>
      </text>
    </comment>
    <comment ref="I2" authorId="0" shapeId="0">
      <text>
        <r>
          <rPr>
            <sz val="9"/>
            <color indexed="81"/>
            <rFont val="Segoe UI"/>
            <family val="2"/>
          </rPr>
          <t>S - Pagou rendimentos a
residentes ou domiciliados
no exterior.
N - Não pagou
rendimentos a residentes
ou domiciliados no exterior.</t>
        </r>
      </text>
    </comment>
    <comment ref="J2" authorId="0" shapeId="0">
      <text>
        <r>
          <rPr>
            <sz val="9"/>
            <color indexed="81"/>
            <rFont val="Segoe UI"/>
            <family val="2"/>
          </rPr>
          <t>S – Existe pagamento de
valor pelo
titular/dependente do plano
de saúde.
N – Não existe pagamento
de valor pelo
titular/dependente do plano
de saúde.</t>
        </r>
      </text>
    </comment>
    <comment ref="K2" authorId="0" shapeId="0">
      <text>
        <r>
          <rPr>
            <sz val="9"/>
            <color indexed="81"/>
            <rFont val="Segoe UI"/>
            <family val="2"/>
          </rPr>
          <t>S - Existe pagamento
relacionado às Olimpíadas.
N - Não existe pagamento
relacionado às Olimpíadas.</t>
        </r>
      </text>
    </comment>
    <comment ref="L2" authorId="0" shapeId="0">
      <text>
        <r>
          <rPr>
            <sz val="9"/>
            <color indexed="81"/>
            <rFont val="Segoe UI"/>
            <family val="2"/>
          </rPr>
          <t>S - Declaração de situação
especial.
N - Não é declaração de
situação especial.</t>
        </r>
      </text>
    </comment>
  </commentList>
</comments>
</file>

<file path=xl/sharedStrings.xml><?xml version="1.0" encoding="utf-8"?>
<sst xmlns="http://schemas.openxmlformats.org/spreadsheetml/2006/main" count="8578" uniqueCount="1028">
  <si>
    <t>CPF</t>
  </si>
  <si>
    <t>NOME</t>
  </si>
  <si>
    <t>DDD</t>
  </si>
  <si>
    <t>Indicador de Titular de Serviços
Notariais e de Registros</t>
  </si>
  <si>
    <t>Indicador de declarante de
rendimentos pagos a residentes
ou domiciliados no exterior</t>
  </si>
  <si>
    <t>Indicador de plano privado de
assistência à saúde - coletivo
empresarial</t>
  </si>
  <si>
    <t>Indicador de sócio ostensivo
responsável por sociedade em
conta de participação - SCP</t>
  </si>
  <si>
    <t>Indicador de situação especial da
declaração</t>
  </si>
  <si>
    <t>Data do Evento</t>
  </si>
  <si>
    <t>Tipo de Evento</t>
  </si>
  <si>
    <t>Nome empresarial</t>
  </si>
  <si>
    <t>Natureza do declarante</t>
  </si>
  <si>
    <t>CPF responsável perante o CNPJ</t>
  </si>
  <si>
    <t>Indicador de declarante
depositário de crédito decorrente
de decisão judicial</t>
  </si>
  <si>
    <t>Indicador de declarante de
instituição administradora ou
intermediadora de fundo ou clube
de investimento</t>
  </si>
  <si>
    <t>Indicador de pagamentos
relacionados aos Jogos
Olímpicos de 2016 e aos Jogos
Paraolímpicos de 2016</t>
  </si>
  <si>
    <t>Data do evento</t>
  </si>
  <si>
    <t>Natureza do
declarante</t>
  </si>
  <si>
    <t>Ano referência</t>
  </si>
  <si>
    <t>Ano-calendário</t>
  </si>
  <si>
    <t>Indicador de retificadora</t>
  </si>
  <si>
    <t>Número do recibo</t>
  </si>
  <si>
    <t>Identificador de estrutura do
leiaute</t>
  </si>
  <si>
    <t>Nome</t>
  </si>
  <si>
    <t>Telefone</t>
  </si>
  <si>
    <t>Ramal</t>
  </si>
  <si>
    <t>Fax</t>
  </si>
  <si>
    <t>Correio eletrônico</t>
  </si>
  <si>
    <t>Registro de identificação do código de receita (identificador IDREC)</t>
  </si>
  <si>
    <t>Data atribuída pelo laudo da
moléstia grave</t>
  </si>
  <si>
    <t>CNPJ</t>
  </si>
  <si>
    <t>RTPO - Rendimentos Tributáveis - Dedução - Previdência Oficial</t>
  </si>
  <si>
    <t>RTPP - Rendimentos Tributáveis - Dedução - Previdência Privada</t>
  </si>
  <si>
    <t>RTDP - Rendimentos Tributáveis - Dedução – Dependentes</t>
  </si>
  <si>
    <t>RTPA - Rendimentos Tributáveis - Dedução - Pensão Alimentícia</t>
  </si>
  <si>
    <t>RTIRF - Rendimentos Tributáveis - Imposto sobre a Renda Retido na Fonte</t>
  </si>
  <si>
    <t>CJAC - Compensação de Imposto por Decisão Judicial - Ano-calendário</t>
  </si>
  <si>
    <t>CJAA - Compensação de Imposto por Decisão Judicial - Anos Anteriores</t>
  </si>
  <si>
    <t>ESRT - Tributação com Exigibilidade Suspensa - Rendimento Tributável</t>
  </si>
  <si>
    <t>ESPO - Tributação com Exigibilidade Suspensa - Dedução - Previdência Oficial</t>
  </si>
  <si>
    <t>ESPP - Tributação com Exigibilidade Suspensa - Dedução - Previdência Privada</t>
  </si>
  <si>
    <t>ESDP - Tributação com Exigibilidade Suspensa - Dedução - Dependentes</t>
  </si>
  <si>
    <t>ESPA - Tributação com Exigibilidade Suspensa - Dedução - Pensão Alimentícia</t>
  </si>
  <si>
    <t>ESIR - Tributação com Exigibilidade Suspensa - Imposto sobre a Renda na Fonte</t>
  </si>
  <si>
    <t>ESDJ - Tributação com Exigibilidade Suspensa - Depósito Judicial</t>
  </si>
  <si>
    <t>RIDAC - Rendimentos Isentos - Diária e Ajuda de Custo</t>
  </si>
  <si>
    <t>RIIRP - Rendimentos Isentos - Indenizações por Rescisão de Contrato de Trabalho, inclusive
a título de PDV</t>
  </si>
  <si>
    <t>RIAP - Rendimentos Isentos - Abono Pecuniário</t>
  </si>
  <si>
    <t>RIBMR - Rendimentos Isentos - Bolsa de Estudo Recebida por Médico-Residente</t>
  </si>
  <si>
    <t>Valor pago no ano</t>
  </si>
  <si>
    <t>Código de receita</t>
  </si>
  <si>
    <t>Registro do Responsável pelo preenchimento da declaração 
(identificador RESPO)</t>
  </si>
  <si>
    <t>Registro de identificação do declarante pessoa física 
(identificador DECPF)</t>
  </si>
  <si>
    <t>Registro de identificação do declarante pessoa jurídica 
(identificador DECPJ)</t>
  </si>
  <si>
    <t>RTRT - Rendimentos Tributáveis</t>
  </si>
  <si>
    <t>RIL96 - Rendimentos Isentos Anuais 
Lucros e dividendos pagos a partir de 1996</t>
  </si>
  <si>
    <t>RIPTS - Rendimentos Isentos Anuais 
Valores pagos a titular ou sócio ou empresa de
pequeno porte, exceto pró-labore e aluguéis</t>
  </si>
  <si>
    <t>RIRSR – Rendimentos Isentos Anuais 
 Rendimentos pagos sem retenção do IR na fonte –
Lei nº 10.833/2003</t>
  </si>
  <si>
    <t>Registro de operadora do plano privado de assistência à saúde - coletivo empresarial (identificador OPSE)</t>
  </si>
  <si>
    <t>CNPJ da operadora de plano
privado de assistência à saúde -
coletivo empresarial</t>
  </si>
  <si>
    <t>Registro ANS</t>
  </si>
  <si>
    <t>Registro de titular do plano privado de assistência à saúde - coletivo empresarial (identificador TPSE)</t>
  </si>
  <si>
    <t>CPF do titular</t>
  </si>
  <si>
    <t>CPF do dependente</t>
  </si>
  <si>
    <t>Data de nascimento</t>
  </si>
  <si>
    <t>Relação de dependência</t>
  </si>
  <si>
    <t>CPF/CNPJ do prestador de
serviço</t>
  </si>
  <si>
    <t>Nome/Nome Empresarial do
prestador de serviço</t>
  </si>
  <si>
    <t>Registro de beneficiário pessoa jurídica do declarante (identificador BPJDEC)</t>
  </si>
  <si>
    <t>Registro de beneficiário pessoa física do declarante (identificador BPFDEC)</t>
  </si>
  <si>
    <t>Plano</t>
  </si>
  <si>
    <t>Registro de identificação da declaração (identificador Dirf)</t>
  </si>
  <si>
    <t>CPF Titular</t>
  </si>
  <si>
    <t>2016</t>
  </si>
  <si>
    <t>N</t>
  </si>
  <si>
    <t/>
  </si>
  <si>
    <t>L35QJS2</t>
  </si>
  <si>
    <t>12991379898</t>
  </si>
  <si>
    <t xml:space="preserve">OSMAR FERREIRA DO NASCIMENTO </t>
  </si>
  <si>
    <t>11</t>
  </si>
  <si>
    <t>31863900</t>
  </si>
  <si>
    <t>0</t>
  </si>
  <si>
    <t>OSMAR.NASCIMENTO@CBRE.COM.BR</t>
  </si>
  <si>
    <t>04055439000172</t>
  </si>
  <si>
    <t>CBRE GCS DO BRASIL LTDA</t>
  </si>
  <si>
    <t>S</t>
  </si>
  <si>
    <t>20161231</t>
  </si>
  <si>
    <t>0561</t>
  </si>
  <si>
    <t>00517261731</t>
  </si>
  <si>
    <t>MARCELO MAIA LAUERS</t>
  </si>
  <si>
    <t>00617303860</t>
  </si>
  <si>
    <t>FERNANDO AUGUSTO DA ROCHA BRANCO FILHO</t>
  </si>
  <si>
    <t>00780370180</t>
  </si>
  <si>
    <t>HEULLER SOUZA DE MACEDO</t>
  </si>
  <si>
    <t>00893301531</t>
  </si>
  <si>
    <t>KATIA SANTOS OLIVEIRA PIEROT</t>
  </si>
  <si>
    <t>01035068966</t>
  </si>
  <si>
    <t>DIEGO CEZAR TEIXEIRA MOTA</t>
  </si>
  <si>
    <t>01174152192</t>
  </si>
  <si>
    <t>THAIS REIS DE CASTRO SANTOS</t>
  </si>
  <si>
    <t>01202059988</t>
  </si>
  <si>
    <t>PAOLA ANDREA SEGURA ROJAS</t>
  </si>
  <si>
    <t>01208498797</t>
  </si>
  <si>
    <t>MARCOS LIMA DA SILVA</t>
  </si>
  <si>
    <t>01487844611</t>
  </si>
  <si>
    <t>EDMUR JEROMEL JUNIOR</t>
  </si>
  <si>
    <t>01534512896</t>
  </si>
  <si>
    <t>JOSE CARLOS VOLPE MARTINEZ</t>
  </si>
  <si>
    <t>01670526089</t>
  </si>
  <si>
    <t>BERNARDO BIAVATTI VELASQUES</t>
  </si>
  <si>
    <t>01792480814</t>
  </si>
  <si>
    <t>FRANCISCO CARLOS CHAVES DE GREGORIO</t>
  </si>
  <si>
    <t>02525368517</t>
  </si>
  <si>
    <t>FRANCISCO MONTENEGRO JOAQUIM DE CARVALHO</t>
  </si>
  <si>
    <t>02817127943</t>
  </si>
  <si>
    <t>EDGAR BUENO WANDSCHEER</t>
  </si>
  <si>
    <t>02829108167</t>
  </si>
  <si>
    <t>VALERIA NUNES DE OLIVEIRA</t>
  </si>
  <si>
    <t>02922588955</t>
  </si>
  <si>
    <t>FERNANDA NUNES DE OLIVEIRA PIZZATTO</t>
  </si>
  <si>
    <t>02934278018</t>
  </si>
  <si>
    <t>PATRICIA MAFALDA DE QUADROS</t>
  </si>
  <si>
    <t>02935038932</t>
  </si>
  <si>
    <t>OTOCAR HALLGREN NETO</t>
  </si>
  <si>
    <t>03011493138</t>
  </si>
  <si>
    <t>ALYNE MAYARA MARTINS SANTOS</t>
  </si>
  <si>
    <t>03065379902</t>
  </si>
  <si>
    <t>STELLA RORIZ SETTI</t>
  </si>
  <si>
    <t>03314915594</t>
  </si>
  <si>
    <t>LARISSA ALVES RIBEIRO</t>
  </si>
  <si>
    <t>03356152874</t>
  </si>
  <si>
    <t>LUIZ CARLOS BERTTI</t>
  </si>
  <si>
    <t>03480249914</t>
  </si>
  <si>
    <t>ITALO CONTINI ANDRADE DOS SANTOS</t>
  </si>
  <si>
    <t>03502946663</t>
  </si>
  <si>
    <t>MARCIO HENRIQUE DE FREITAS</t>
  </si>
  <si>
    <t>03576285199</t>
  </si>
  <si>
    <t>JEAN ARLAN HENRIQUE ADAMS</t>
  </si>
  <si>
    <t>04003871669</t>
  </si>
  <si>
    <t>PATRICIA PEREIRA LOPES</t>
  </si>
  <si>
    <t>04025658607</t>
  </si>
  <si>
    <t>CARLOS HUMBERTO PALHARES</t>
  </si>
  <si>
    <t>04042835600</t>
  </si>
  <si>
    <t>NEY BATISTA JUNIOR</t>
  </si>
  <si>
    <t>04136013906</t>
  </si>
  <si>
    <t>WILSON XAVIER DE ARAUJO</t>
  </si>
  <si>
    <t>04223215914</t>
  </si>
  <si>
    <t>JOSIVANI ALVES</t>
  </si>
  <si>
    <t>04275090926</t>
  </si>
  <si>
    <t>SUZICLER REGINA TORTELLI</t>
  </si>
  <si>
    <t>04519512980</t>
  </si>
  <si>
    <t>MARIA LUIZA LOESCH</t>
  </si>
  <si>
    <t>04557066976</t>
  </si>
  <si>
    <t>LIVIA BONA DE MELLO</t>
  </si>
  <si>
    <t>04646507803</t>
  </si>
  <si>
    <t>JUAN PEREZ TORRUBIA</t>
  </si>
  <si>
    <t>04919221169</t>
  </si>
  <si>
    <t>DEBORA DA SILVA VINAGA</t>
  </si>
  <si>
    <t>04919974930</t>
  </si>
  <si>
    <t>KELLY PIRES DANTAS</t>
  </si>
  <si>
    <t>05239388881</t>
  </si>
  <si>
    <t>ANTONIO FERNANDO DE FARIA BARRO FRANCO</t>
  </si>
  <si>
    <t>05277769714</t>
  </si>
  <si>
    <t>LEANDRO AUGUSTO JOSE DE MELLO</t>
  </si>
  <si>
    <t>05339196739</t>
  </si>
  <si>
    <t>JOANA GUTERRES DE AZEVEDO</t>
  </si>
  <si>
    <t>05431262939</t>
  </si>
  <si>
    <t>MEIRIANE DORIS CARDOSO</t>
  </si>
  <si>
    <t>05437846819</t>
  </si>
  <si>
    <t>MARCELO EDUARDO GOMES MOREIRA</t>
  </si>
  <si>
    <t>05626031669</t>
  </si>
  <si>
    <t>MARIANA FERNANDES MAGNI</t>
  </si>
  <si>
    <t>05761647630</t>
  </si>
  <si>
    <t>WESLEY DE OLIVEIRA SANTOS</t>
  </si>
  <si>
    <t>05855786994</t>
  </si>
  <si>
    <t>MINIE CAVALLARO BAR</t>
  </si>
  <si>
    <t>06059632904</t>
  </si>
  <si>
    <t>ALISSON VENICIUS CRISTOVAM SILVA</t>
  </si>
  <si>
    <t>06072333974</t>
  </si>
  <si>
    <t>BIANCA DE BORBA</t>
  </si>
  <si>
    <t>06178418884</t>
  </si>
  <si>
    <t>PAULO VALENTE</t>
  </si>
  <si>
    <t>06353581904</t>
  </si>
  <si>
    <t>ALINE RENATA TABORDA CORREIA</t>
  </si>
  <si>
    <t>06375905621</t>
  </si>
  <si>
    <t>TIAGO BARBOSA MOREIRA</t>
  </si>
  <si>
    <t>06855678858</t>
  </si>
  <si>
    <t>JOSE MARQUES DE OLIVEIRA</t>
  </si>
  <si>
    <t>06917661775</t>
  </si>
  <si>
    <t>MARCELA QUINTANILHA BORGES DA ROCHA</t>
  </si>
  <si>
    <t>06933158497</t>
  </si>
  <si>
    <t>FRANCISCA RAFAELLA MARTINS DA SILVA FEITOSA</t>
  </si>
  <si>
    <t>07446275910</t>
  </si>
  <si>
    <t>JEAN CARLOS ALVARENGA</t>
  </si>
  <si>
    <t>07841453930</t>
  </si>
  <si>
    <t>DESIRRE COQUETTI FREITAS</t>
  </si>
  <si>
    <t>08127789798</t>
  </si>
  <si>
    <t>RAQUEL AZEVEDO DA SILVEIRA</t>
  </si>
  <si>
    <t>08229146977</t>
  </si>
  <si>
    <t>PATRICIA CARSONI DO NASCIMENTO</t>
  </si>
  <si>
    <t>08289314884</t>
  </si>
  <si>
    <t>MARCIO SIDNEI MARTINS</t>
  </si>
  <si>
    <t>08294862673</t>
  </si>
  <si>
    <t>ALEX DE CASTRO SILVA MAGALHAES</t>
  </si>
  <si>
    <t>08551773909</t>
  </si>
  <si>
    <t>PEDRO HENRIQUE POTRICH SILVEIRA</t>
  </si>
  <si>
    <t>09317966608</t>
  </si>
  <si>
    <t>PAULO HENRIQUE CAMPOS BORGES</t>
  </si>
  <si>
    <t>09460603980</t>
  </si>
  <si>
    <t>GABRIELA COSTA FERNANDES</t>
  </si>
  <si>
    <t>09994569627</t>
  </si>
  <si>
    <t>THIAGO MENDES RODRIGUES</t>
  </si>
  <si>
    <t>10113156618</t>
  </si>
  <si>
    <t>PEDRO HENRIQUE DOS SANTOS</t>
  </si>
  <si>
    <t>10224073842</t>
  </si>
  <si>
    <t>PAULO CESAR GARCIA</t>
  </si>
  <si>
    <t>10355788837</t>
  </si>
  <si>
    <t>LEANDRO SERTORI</t>
  </si>
  <si>
    <t>11354042751</t>
  </si>
  <si>
    <t>MARCIO DA SILVA FINAMOR</t>
  </si>
  <si>
    <t>11420899759</t>
  </si>
  <si>
    <t>TAYNA FREITAS BRANDAO</t>
  </si>
  <si>
    <t>11523962852</t>
  </si>
  <si>
    <t>LUIZ APARECIDO VICENTE</t>
  </si>
  <si>
    <t>11685405690</t>
  </si>
  <si>
    <t>JESSICA NAIALY SANTOS SOUZA</t>
  </si>
  <si>
    <t>11969595876</t>
  </si>
  <si>
    <t>ROSEMEIRE PEREIRA DA SILVA</t>
  </si>
  <si>
    <t>12001721757</t>
  </si>
  <si>
    <t>CRISTIANO SOUZA DE OLIVEIRA</t>
  </si>
  <si>
    <t>12619546702</t>
  </si>
  <si>
    <t>NATHALIA SILVA CARDOSO</t>
  </si>
  <si>
    <t>12640151860</t>
  </si>
  <si>
    <t>SIMONE DE CARVALHO SOUSA VIEIRA</t>
  </si>
  <si>
    <t>12968116622</t>
  </si>
  <si>
    <t>PETHER PEREIRA SILVA</t>
  </si>
  <si>
    <t>12974991823</t>
  </si>
  <si>
    <t>SANDRA REGINA PEREIRA MONACO</t>
  </si>
  <si>
    <t>14176956844</t>
  </si>
  <si>
    <t>EDWARD SILVA JUNIOR</t>
  </si>
  <si>
    <t>14840946892</t>
  </si>
  <si>
    <t>DANIELA MACHADO SILVA VENEGAS</t>
  </si>
  <si>
    <t>14935216832</t>
  </si>
  <si>
    <t>JOEL ALENCAR FERREIRA</t>
  </si>
  <si>
    <t>15522376805</t>
  </si>
  <si>
    <t>SANDRA DE SOUZA OLIVEIRA</t>
  </si>
  <si>
    <t>16764626863</t>
  </si>
  <si>
    <t>ALBERTO DE ALMEIDA MOREIRA</t>
  </si>
  <si>
    <t>16813136852</t>
  </si>
  <si>
    <t>MARCIO ANDREATTA</t>
  </si>
  <si>
    <t>16876378810</t>
  </si>
  <si>
    <t>ROBERTO ANDRADE SILVA</t>
  </si>
  <si>
    <t>17264576809</t>
  </si>
  <si>
    <t>GISELLE TORRECILLAS SARRAF</t>
  </si>
  <si>
    <t>17336787860</t>
  </si>
  <si>
    <t>MARCELO GIRARDI</t>
  </si>
  <si>
    <t>17693548831</t>
  </si>
  <si>
    <t>FERNANDA HELENA CONTIM MACHADO</t>
  </si>
  <si>
    <t>17902264814</t>
  </si>
  <si>
    <t>PAULO ROBERTO PINTO LANFRANCHI</t>
  </si>
  <si>
    <t>18019537830</t>
  </si>
  <si>
    <t>MILEIDE REGINA BINI</t>
  </si>
  <si>
    <t>18173847835</t>
  </si>
  <si>
    <t>MARCOS ALVES MAYA</t>
  </si>
  <si>
    <t>18350022850</t>
  </si>
  <si>
    <t>ALESSANDRO NEIVA CORDEIRO</t>
  </si>
  <si>
    <t>19176064867</t>
  </si>
  <si>
    <t>DAFNE DE OLIVEIRA CAMPOS</t>
  </si>
  <si>
    <t>19256697858</t>
  </si>
  <si>
    <t>ALEX ROMERO CODOLO</t>
  </si>
  <si>
    <t>19260668808</t>
  </si>
  <si>
    <t>LEOCARLOS BELEM DE OLIVEIRA</t>
  </si>
  <si>
    <t>19522202894</t>
  </si>
  <si>
    <t>MILTON RIBEIRO DA CRUZ</t>
  </si>
  <si>
    <t>19586284840</t>
  </si>
  <si>
    <t>MARCOS ROGERIO DOS REIS</t>
  </si>
  <si>
    <t>19846912870</t>
  </si>
  <si>
    <t>LUCIANO HENRIQUE RIBEIRO</t>
  </si>
  <si>
    <t>19995372894</t>
  </si>
  <si>
    <t>PATRICIA ISODA MOLLINARI</t>
  </si>
  <si>
    <t>21262230861</t>
  </si>
  <si>
    <t>MAURICIO ROBERTO MARCONDES</t>
  </si>
  <si>
    <t>21566039878</t>
  </si>
  <si>
    <t>SILVIO LEANDRO SANTANA</t>
  </si>
  <si>
    <t>21624475841</t>
  </si>
  <si>
    <t>ALLAN DEYVIDS DE MORAES COUTO</t>
  </si>
  <si>
    <t>21822154847</t>
  </si>
  <si>
    <t>CAMILA BALDICHIA BERTI</t>
  </si>
  <si>
    <t>21902789881</t>
  </si>
  <si>
    <t>EDMIR PIRES NETO</t>
  </si>
  <si>
    <t>21963012801</t>
  </si>
  <si>
    <t>THIAGO RAMOS DE SOUSA</t>
  </si>
  <si>
    <t>21982129867</t>
  </si>
  <si>
    <t>VITOR EIJI UTSUNOMIYA ENOKI</t>
  </si>
  <si>
    <t>22116754844</t>
  </si>
  <si>
    <t>MARCIO FUJITA DONAIRE</t>
  </si>
  <si>
    <t>22123704822</t>
  </si>
  <si>
    <t>DANIEL DOS SANTOS RODRIGUEZ</t>
  </si>
  <si>
    <t>22370605847</t>
  </si>
  <si>
    <t>THIAGO TONELLO</t>
  </si>
  <si>
    <t>22412671800</t>
  </si>
  <si>
    <t>RAQUEL CANTO DE SOUZA VIEIRA</t>
  </si>
  <si>
    <t>23004567881</t>
  </si>
  <si>
    <t>MATHEUS CARVALHO SCHREMPP</t>
  </si>
  <si>
    <t>23385506840</t>
  </si>
  <si>
    <t>PAULO HENRIQUE DA SILVA</t>
  </si>
  <si>
    <t>23479097898</t>
  </si>
  <si>
    <t>ANA MARIA DOMINGUEZ OQUENDO</t>
  </si>
  <si>
    <t>23688338898</t>
  </si>
  <si>
    <t>ELIAS MARTIN APARICIO</t>
  </si>
  <si>
    <t>24940499898</t>
  </si>
  <si>
    <t>CICERO ANTAO SANTANA</t>
  </si>
  <si>
    <t>25167012848</t>
  </si>
  <si>
    <t>REGIANE PEREIRA MARQUES</t>
  </si>
  <si>
    <t>25195133816</t>
  </si>
  <si>
    <t>ANDRE DUARTE DA CONCEICAO MIRANDA</t>
  </si>
  <si>
    <t>25484911885</t>
  </si>
  <si>
    <t>REGINALDO GALHARDO MARTINS</t>
  </si>
  <si>
    <t>25729846878</t>
  </si>
  <si>
    <t>SANDRA OLIVEIRA DE ALMEIDA</t>
  </si>
  <si>
    <t>25920129824</t>
  </si>
  <si>
    <t>MARCELO TELO GOMES JARDIM</t>
  </si>
  <si>
    <t>26041914827</t>
  </si>
  <si>
    <t>RONALDO DE CARVALHO FLOSI</t>
  </si>
  <si>
    <t>26810575820</t>
  </si>
  <si>
    <t>FERNANDA GUEDES CARNEIRO</t>
  </si>
  <si>
    <t>26843347819</t>
  </si>
  <si>
    <t>EVERTON DE PAULA</t>
  </si>
  <si>
    <t>26940311882</t>
  </si>
  <si>
    <t>ALESSANDRA ALVES NAVARRO ALONSO</t>
  </si>
  <si>
    <t>27046457875</t>
  </si>
  <si>
    <t>LIGIA FABIANE DA SILVA</t>
  </si>
  <si>
    <t>27737189840</t>
  </si>
  <si>
    <t>RENATO SANTOMAURO</t>
  </si>
  <si>
    <t>27846480871</t>
  </si>
  <si>
    <t>LEILA VENESI</t>
  </si>
  <si>
    <t>27960464863</t>
  </si>
  <si>
    <t>SILVANA DE LUCENA CARVALHO</t>
  </si>
  <si>
    <t>27980530802</t>
  </si>
  <si>
    <t>ANA PAULA DE LIRA SANTOS VARALDA</t>
  </si>
  <si>
    <t>28183056830</t>
  </si>
  <si>
    <t>FABIO YUGO ISCHICAVA</t>
  </si>
  <si>
    <t>28284028867</t>
  </si>
  <si>
    <t>RAFAEL PINTO DE ALMEIDA LOPES</t>
  </si>
  <si>
    <t>28302416819</t>
  </si>
  <si>
    <t>RENATA FERNANDES BOTARO</t>
  </si>
  <si>
    <t>28871107802</t>
  </si>
  <si>
    <t>CRISTIANE SANTOS CUNHA VIDAL</t>
  </si>
  <si>
    <t>28922674806</t>
  </si>
  <si>
    <t>ERICA MAGALHAES DO NASCIMENTO PIRES</t>
  </si>
  <si>
    <t>29075160860</t>
  </si>
  <si>
    <t>FERNANDO BARBOZA E SILVA</t>
  </si>
  <si>
    <t>29420165825</t>
  </si>
  <si>
    <t>APARECIDA CINTIA JUCA LIMA</t>
  </si>
  <si>
    <t>29500166852</t>
  </si>
  <si>
    <t>MARINA THEREZA SANTOS DE SOUZA OZDEMIR</t>
  </si>
  <si>
    <t>29514087810</t>
  </si>
  <si>
    <t>DANIELLE GONZALEZ SUPERTI</t>
  </si>
  <si>
    <t>29954052810</t>
  </si>
  <si>
    <t>TATIANA GARUFI HELOU LUBAS</t>
  </si>
  <si>
    <t>30052841820</t>
  </si>
  <si>
    <t>PAULA LETICIA DE SOUZA</t>
  </si>
  <si>
    <t>30064977838</t>
  </si>
  <si>
    <t>FERNANDO MITSUO IDA</t>
  </si>
  <si>
    <t>30158277821</t>
  </si>
  <si>
    <t>LETICIA LOBATO ARAUJO</t>
  </si>
  <si>
    <t>30458476846</t>
  </si>
  <si>
    <t>FABIO JOSE MALAQUIAS</t>
  </si>
  <si>
    <t>31254112898</t>
  </si>
  <si>
    <t>JULIANE KRUGER DE BONIS</t>
  </si>
  <si>
    <t>31340767805</t>
  </si>
  <si>
    <t>DEBORA MARTINS GONCALVES MAIA</t>
  </si>
  <si>
    <t>31778017894</t>
  </si>
  <si>
    <t>LETICIA BALDINI</t>
  </si>
  <si>
    <t>31787297802</t>
  </si>
  <si>
    <t>YOLANDA MARIA DE SOUZA SIMOES</t>
  </si>
  <si>
    <t>31821607880</t>
  </si>
  <si>
    <t>GABRIELA SOUZA NASCIMENTO</t>
  </si>
  <si>
    <t>31852097884</t>
  </si>
  <si>
    <t>RODRIGO BIANCHINI BONILLA GARCIA</t>
  </si>
  <si>
    <t>31976457823</t>
  </si>
  <si>
    <t>DANIEL GONCALVES VIDEIRA</t>
  </si>
  <si>
    <t>32399486803</t>
  </si>
  <si>
    <t>ANDREIA PISSINATO BARONI</t>
  </si>
  <si>
    <t>32586536827</t>
  </si>
  <si>
    <t>CAROLINA SUSANNAH VILLELA FOLEY</t>
  </si>
  <si>
    <t>32627644858</t>
  </si>
  <si>
    <t>MELINA CHIOSINI DE NADAI</t>
  </si>
  <si>
    <t>32652411810</t>
  </si>
  <si>
    <t>EDILSON MARETTI</t>
  </si>
  <si>
    <t>32874512869</t>
  </si>
  <si>
    <t>ELCIO LUIZ CARVALHO JUNIOR</t>
  </si>
  <si>
    <t>33308344807</t>
  </si>
  <si>
    <t>SAMUEL SILAS CHAVES DAMIAO</t>
  </si>
  <si>
    <t>33473995878</t>
  </si>
  <si>
    <t>DANIEL GARCIA MARTINEZ</t>
  </si>
  <si>
    <t>33493668805</t>
  </si>
  <si>
    <t>CARLO FAQUINETTI CELLAMARE</t>
  </si>
  <si>
    <t>33686233894</t>
  </si>
  <si>
    <t>FLORINDA CELESTINA MONCAO</t>
  </si>
  <si>
    <t>33896049879</t>
  </si>
  <si>
    <t>WELLINGTON DE MELO PEREIRA</t>
  </si>
  <si>
    <t>33912589852</t>
  </si>
  <si>
    <t>DANIELA ALGE GOMES</t>
  </si>
  <si>
    <t>33928419862</t>
  </si>
  <si>
    <t>ANDRE AUGUSTO BELLON</t>
  </si>
  <si>
    <t>34029874819</t>
  </si>
  <si>
    <t>ELIANA HIROE TAKAHASHI</t>
  </si>
  <si>
    <t>34521819877</t>
  </si>
  <si>
    <t>JEFFERSON JESUS OLIVEIRA</t>
  </si>
  <si>
    <t>35059423832</t>
  </si>
  <si>
    <t>JONATHAM TRAJANO DOS SANTOS JUNIOR</t>
  </si>
  <si>
    <t>35068316822</t>
  </si>
  <si>
    <t>LUCAS MONTEIRO</t>
  </si>
  <si>
    <t>35231589829</t>
  </si>
  <si>
    <t>GRISTERSON MICHEL DA SILVA</t>
  </si>
  <si>
    <t>35565835852</t>
  </si>
  <si>
    <t>CHRISTINA REGINA THOMAZ</t>
  </si>
  <si>
    <t>36174049876</t>
  </si>
  <si>
    <t>JORGE PITER LEAL PEREIRA</t>
  </si>
  <si>
    <t>36197008858</t>
  </si>
  <si>
    <t>ANA CAROLINA SALES SETTANNI</t>
  </si>
  <si>
    <t>36373221881</t>
  </si>
  <si>
    <t>ELAINE RODRIGUES OLIVEIRA</t>
  </si>
  <si>
    <t>36438658804</t>
  </si>
  <si>
    <t>BRUNO PONTE</t>
  </si>
  <si>
    <t>36946682840</t>
  </si>
  <si>
    <t>KELLY VIANA SHUHAMA</t>
  </si>
  <si>
    <t>37143990892</t>
  </si>
  <si>
    <t>DANILO HENRIQUE MOREIRA SANTANA</t>
  </si>
  <si>
    <t>37327923829</t>
  </si>
  <si>
    <t>JOSE GABRIEL APARECIDO ANDRE</t>
  </si>
  <si>
    <t>37857794880</t>
  </si>
  <si>
    <t>ANDRE CARDOSO SILVESTRE</t>
  </si>
  <si>
    <t>37910679823</t>
  </si>
  <si>
    <t>MIRIAN REGINA CADAMURO</t>
  </si>
  <si>
    <t>37992680812</t>
  </si>
  <si>
    <t>GRACILENE FRANCINE VALERIO SAITO</t>
  </si>
  <si>
    <t>38019327886</t>
  </si>
  <si>
    <t>RODRIGO PAULO GABRIEL GALLUCCI BUENO</t>
  </si>
  <si>
    <t>38194058104</t>
  </si>
  <si>
    <t>CRISTIANE LUDOVICO DE MELO PRETEL</t>
  </si>
  <si>
    <t>38619421867</t>
  </si>
  <si>
    <t>MARINA QUEIROZ BARRETO PEREIRA</t>
  </si>
  <si>
    <t>38786377809</t>
  </si>
  <si>
    <t>CAMILA TAVEIRA SOLA</t>
  </si>
  <si>
    <t>39171763864</t>
  </si>
  <si>
    <t>NAIARA RODRIGUES MINTO</t>
  </si>
  <si>
    <t>39308386807</t>
  </si>
  <si>
    <t>NIVALDO JUNIO CESAR NASCIMENTO</t>
  </si>
  <si>
    <t>39420514862</t>
  </si>
  <si>
    <t>JEANNIE TRICYA RIBEIRO DA SILVA</t>
  </si>
  <si>
    <t>39535148818</t>
  </si>
  <si>
    <t>SHIRLENE BATISTA QUEIROZ BARBOSA</t>
  </si>
  <si>
    <t>39822287860</t>
  </si>
  <si>
    <t>DANILO AUGUSTO FERREIRA DA SILVA TOSCHI</t>
  </si>
  <si>
    <t>40015117898</t>
  </si>
  <si>
    <t>FELIPE SILVA PEREIRA</t>
  </si>
  <si>
    <t>40634650807</t>
  </si>
  <si>
    <t>JEFFERSON TOME VIEIRA DA SILVA</t>
  </si>
  <si>
    <t>40750413875</t>
  </si>
  <si>
    <t>WALTHER RODRIGO FILIPPETTI NUCCI</t>
  </si>
  <si>
    <t>40851188893</t>
  </si>
  <si>
    <t>CAROLINE CAMILO DE OLIVEIRA</t>
  </si>
  <si>
    <t>41022953800</t>
  </si>
  <si>
    <t>KASSIA GUEDES DE LIMA</t>
  </si>
  <si>
    <t>41069039896</t>
  </si>
  <si>
    <t>VITOR DE MOURA PORTO</t>
  </si>
  <si>
    <t>42406258823</t>
  </si>
  <si>
    <t>LAYLA STEFANY DE CAMPOS PEREIRA</t>
  </si>
  <si>
    <t>43983827802</t>
  </si>
  <si>
    <t>RENAN TADEU ZANELLA DE OLIVEIRA</t>
  </si>
  <si>
    <t>45155213819</t>
  </si>
  <si>
    <t>THALIA FREIRE BISPO</t>
  </si>
  <si>
    <t>45608759877</t>
  </si>
  <si>
    <t>MARIANA CASSINELLI LANTMANN</t>
  </si>
  <si>
    <t>48502804634</t>
  </si>
  <si>
    <t>PAULO HENRIQUE RODRIGUES GINACK</t>
  </si>
  <si>
    <t>55925669568</t>
  </si>
  <si>
    <t>MARCELO VIEIRA XAVIER</t>
  </si>
  <si>
    <t>56087560610</t>
  </si>
  <si>
    <t>ALAOR VASCONCELOS GOIABEIRA FILHO</t>
  </si>
  <si>
    <t>68500041820</t>
  </si>
  <si>
    <t>DONIZETE ALVES BARROSO</t>
  </si>
  <si>
    <t>70758137141</t>
  </si>
  <si>
    <t>ITZEL GUERRERO CORTES</t>
  </si>
  <si>
    <t>71661786987</t>
  </si>
  <si>
    <t>GISELE REGINA GUNHA</t>
  </si>
  <si>
    <t>78566029534</t>
  </si>
  <si>
    <t>NINA TEMPORAL MOTTA</t>
  </si>
  <si>
    <t>82217521934</t>
  </si>
  <si>
    <t>MARLUS BATISTA DE AZEVEDO</t>
  </si>
  <si>
    <t>83343075191</t>
  </si>
  <si>
    <t>MURILLO DE SOUZA GOMES</t>
  </si>
  <si>
    <t>84756314953</t>
  </si>
  <si>
    <t>VIVIANE CRISTINA FERNANDES FERREIRA BEZERRA</t>
  </si>
  <si>
    <t>86011324304</t>
  </si>
  <si>
    <t>JERRY ALDO CASTRO SILVA</t>
  </si>
  <si>
    <t>87000733934</t>
  </si>
  <si>
    <t>VALCILEIA APARECIDA MUSSI MARTINS</t>
  </si>
  <si>
    <t>87268850930</t>
  </si>
  <si>
    <t>THAIS XAVIER BASTOS WABESKY</t>
  </si>
  <si>
    <t>87345315568</t>
  </si>
  <si>
    <t>FABIO DE SOUZA BARBOSA</t>
  </si>
  <si>
    <t>90403630800</t>
  </si>
  <si>
    <t>GEORGE CORREA SANTOS</t>
  </si>
  <si>
    <t>91813425515</t>
  </si>
  <si>
    <t>FERNANDA TISANO</t>
  </si>
  <si>
    <t>93316453172</t>
  </si>
  <si>
    <t>FERNANDA DE JESUS COSTA CAMARGO</t>
  </si>
  <si>
    <t>93928335804</t>
  </si>
  <si>
    <t>JOSE BENEDITO FRANCO VARRICHIO</t>
  </si>
  <si>
    <t>96281170920</t>
  </si>
  <si>
    <t>MARCELO DE PAULI</t>
  </si>
  <si>
    <t>3562</t>
  </si>
  <si>
    <t>01250166977</t>
  </si>
  <si>
    <t>DANIEL PETER KITCHIN</t>
  </si>
  <si>
    <t>01321599706</t>
  </si>
  <si>
    <t>ALEXANDRE SILVA DE ALMEIDA</t>
  </si>
  <si>
    <t>04124992904</t>
  </si>
  <si>
    <t>EDGAR DAVID PEIXOTO KOUBIK</t>
  </si>
  <si>
    <t>05329290988</t>
  </si>
  <si>
    <t>RENATA ANDREIA DINIZ</t>
  </si>
  <si>
    <t>07802591651</t>
  </si>
  <si>
    <t>EDIELE ALVES DE SOUSA</t>
  </si>
  <si>
    <t>08009016900</t>
  </si>
  <si>
    <t>ROMULO ERCULANO TAVARES</t>
  </si>
  <si>
    <t>08307289963</t>
  </si>
  <si>
    <t>FELIPE DIAS DE SOUZA</t>
  </si>
  <si>
    <t>09159931710</t>
  </si>
  <si>
    <t>ROBERTO MIRANDA FLORENCIO</t>
  </si>
  <si>
    <t>12551777801</t>
  </si>
  <si>
    <t>PAOLO CARLO RAMUS</t>
  </si>
  <si>
    <t>13003891766</t>
  </si>
  <si>
    <t>BRUNO DE BARROS FERNANDES</t>
  </si>
  <si>
    <t>16516790884</t>
  </si>
  <si>
    <t>JOSE EVERALDO DA SILVA</t>
  </si>
  <si>
    <t>21940757800</t>
  </si>
  <si>
    <t>THIAGO MORENO PEREIRA</t>
  </si>
  <si>
    <t>31275090818</t>
  </si>
  <si>
    <t>ANA CAROLINA PAVAN BORDINI</t>
  </si>
  <si>
    <t>32108390855</t>
  </si>
  <si>
    <t>THIAGO ANDERSON SESSO CARDOSO DA SILVA</t>
  </si>
  <si>
    <t>32863145878</t>
  </si>
  <si>
    <t>VERONICA AIANE BARBOSA SALES</t>
  </si>
  <si>
    <t>33824527820</t>
  </si>
  <si>
    <t>LARISSA SILVESTRE ALVES</t>
  </si>
  <si>
    <t>34069551859</t>
  </si>
  <si>
    <t>RAFAEL COSTA ANDRADE</t>
  </si>
  <si>
    <t>34719095836</t>
  </si>
  <si>
    <t>YADER DOS SANTOS ELIAS</t>
  </si>
  <si>
    <t>36950073895</t>
  </si>
  <si>
    <t>PATRICIA RODRIGUES LOPES</t>
  </si>
  <si>
    <t>37283349871</t>
  </si>
  <si>
    <t>FLAVIO MARIANO FERREIRA</t>
  </si>
  <si>
    <t>38141702882</t>
  </si>
  <si>
    <t>MATHEUS HODNIK</t>
  </si>
  <si>
    <t>87482568891</t>
  </si>
  <si>
    <t>ROBERTO ROMAGNOLI</t>
  </si>
  <si>
    <t>93571470478</t>
  </si>
  <si>
    <t>FLAVIA SERPA SPINELLI</t>
  </si>
  <si>
    <t>02476067000122</t>
  </si>
  <si>
    <t>UNIMED</t>
  </si>
  <si>
    <t>000701</t>
  </si>
  <si>
    <t>03109385708</t>
  </si>
  <si>
    <t>19730607</t>
  </si>
  <si>
    <t>ROSANA DO CARMO SILVA LAUERS</t>
  </si>
  <si>
    <t>03</t>
  </si>
  <si>
    <t>13679793740</t>
  </si>
  <si>
    <t>19970521</t>
  </si>
  <si>
    <t>JULIA SANTOS LAUERS</t>
  </si>
  <si>
    <t>04</t>
  </si>
  <si>
    <t>01940882516</t>
  </si>
  <si>
    <t>19850515</t>
  </si>
  <si>
    <t>KLAUBER PIEROT DOS SANTOS</t>
  </si>
  <si>
    <t>07833759562</t>
  </si>
  <si>
    <t>20131203</t>
  </si>
  <si>
    <t>KAUANNA SANTOS OLIVEIRA PIEROT</t>
  </si>
  <si>
    <t>02030817813</t>
  </si>
  <si>
    <t>19581001</t>
  </si>
  <si>
    <t>EDELICIA MARIA DOS SANTOS GARCIA MARTINEZ</t>
  </si>
  <si>
    <t>03440863808</t>
  </si>
  <si>
    <t>19620407</t>
  </si>
  <si>
    <t>ROCY ROSSI BERTTI</t>
  </si>
  <si>
    <t>20030212</t>
  </si>
  <si>
    <t>MARCELO HENRIQUE DE FREITAS</t>
  </si>
  <si>
    <t>03068575613</t>
  </si>
  <si>
    <t>19771101</t>
  </si>
  <si>
    <t>KARLA FRANCINE CORREA FREITAS</t>
  </si>
  <si>
    <t>20130215</t>
  </si>
  <si>
    <t>RUAN GUILHERME ALVES ADAMS</t>
  </si>
  <si>
    <t>20150309</t>
  </si>
  <si>
    <t>MARIANA LOPES SOUZA</t>
  </si>
  <si>
    <t>05247884647</t>
  </si>
  <si>
    <t>19820603</t>
  </si>
  <si>
    <t>UEMERSON ANTONIO DE SOUZA</t>
  </si>
  <si>
    <t>70113992670</t>
  </si>
  <si>
    <t>20130218</t>
  </si>
  <si>
    <t>BENJAMIM LOPES SOUZA</t>
  </si>
  <si>
    <t>20050604</t>
  </si>
  <si>
    <t>JOAO VITOR NSCIMENTO BATISTA</t>
  </si>
  <si>
    <t>03628018609</t>
  </si>
  <si>
    <t>19780409</t>
  </si>
  <si>
    <t>EMANUELLE MELO FRANCO NASCIMENTO BATISTA</t>
  </si>
  <si>
    <t>20140903</t>
  </si>
  <si>
    <t>GABRIELA BAR</t>
  </si>
  <si>
    <t>05858644970</t>
  </si>
  <si>
    <t>19871125</t>
  </si>
  <si>
    <t>EVANDRO DE AMORIM</t>
  </si>
  <si>
    <t>20050630</t>
  </si>
  <si>
    <t>LUCAS VILAS BOAS MARCELINO VALENTE</t>
  </si>
  <si>
    <t>02555006966</t>
  </si>
  <si>
    <t>19750803</t>
  </si>
  <si>
    <t>JACQUELINE VILAS BOAS MARCELINO VALENTE</t>
  </si>
  <si>
    <t>20070521</t>
  </si>
  <si>
    <t>JOAO LUIS MARTINS DE MELO</t>
  </si>
  <si>
    <t>21256355852</t>
  </si>
  <si>
    <t>19770308</t>
  </si>
  <si>
    <t>JACIARA REGINA GONGORA GARCIA</t>
  </si>
  <si>
    <t>44915092801</t>
  </si>
  <si>
    <t>19961222</t>
  </si>
  <si>
    <t>LUIS FELIPE GONGORA</t>
  </si>
  <si>
    <t>13943295800</t>
  </si>
  <si>
    <t>19750901</t>
  </si>
  <si>
    <t>KATIA DE CARVALHO VICENTE</t>
  </si>
  <si>
    <t>38644644807</t>
  </si>
  <si>
    <t>19950212</t>
  </si>
  <si>
    <t>LUIZ GUILHERME VICENTE</t>
  </si>
  <si>
    <t>41953155812</t>
  </si>
  <si>
    <t>19850101</t>
  </si>
  <si>
    <t>LAIS CRISTINE VICENTE</t>
  </si>
  <si>
    <t>20030206</t>
  </si>
  <si>
    <t>GABRIEL VICTOR SANTANA</t>
  </si>
  <si>
    <t>20060323</t>
  </si>
  <si>
    <t>CAMILA VITORA SANTANA</t>
  </si>
  <si>
    <t>22079678833</t>
  </si>
  <si>
    <t>19810701</t>
  </si>
  <si>
    <t>SILVANA MORAES DOS SANTOS</t>
  </si>
  <si>
    <t>20060729</t>
  </si>
  <si>
    <t>PEDRO HENRIQUE TONELLO</t>
  </si>
  <si>
    <t>20130710</t>
  </si>
  <si>
    <t>JULIA TONELLO</t>
  </si>
  <si>
    <t>27976376829</t>
  </si>
  <si>
    <t>19800928</t>
  </si>
  <si>
    <t>ROSILENE DOS SANTOS FERREIRA</t>
  </si>
  <si>
    <t>17894031895</t>
  </si>
  <si>
    <t>19700313</t>
  </si>
  <si>
    <t>CLAUDETE DOS REIS</t>
  </si>
  <si>
    <t>10</t>
  </si>
  <si>
    <t>23713813817</t>
  </si>
  <si>
    <t>19940325</t>
  </si>
  <si>
    <t>ALISSON DOS REIS</t>
  </si>
  <si>
    <t>45491552801</t>
  </si>
  <si>
    <t>19980420</t>
  </si>
  <si>
    <t>RILSON ANTAO SANTANA</t>
  </si>
  <si>
    <t>20140823</t>
  </si>
  <si>
    <t>SOFIA DE LUCENA CARVALHO</t>
  </si>
  <si>
    <t>20140121</t>
  </si>
  <si>
    <t>ANA LIVIA DA SILVA ANDRE</t>
  </si>
  <si>
    <t>20130104</t>
  </si>
  <si>
    <t>ARTHUR GUIMARAES XAVIER</t>
  </si>
  <si>
    <t>03192225513</t>
  </si>
  <si>
    <t>19820317</t>
  </si>
  <si>
    <t>JULIMARA INACIA GUIMARAES XAVIER</t>
  </si>
  <si>
    <t>20041118</t>
  </si>
  <si>
    <t>ANDRE SAVASTANO GOIABEIRA</t>
  </si>
  <si>
    <t>00425386619</t>
  </si>
  <si>
    <t>19720711</t>
  </si>
  <si>
    <t>ADRIANA FREIRE SAVASTANO</t>
  </si>
  <si>
    <t>10608810630</t>
  </si>
  <si>
    <t>20001002</t>
  </si>
  <si>
    <t>ALEXANDRE SAVASTANO GOIABEIRA</t>
  </si>
  <si>
    <t>06658007381</t>
  </si>
  <si>
    <t>19950925</t>
  </si>
  <si>
    <t>JEFFERSON DE MORAIS SILVA</t>
  </si>
  <si>
    <t>66231698300</t>
  </si>
  <si>
    <t>19740909</t>
  </si>
  <si>
    <t>MARIA GERALDA FELICIANO DE MORAIS</t>
  </si>
  <si>
    <t>81624573991</t>
  </si>
  <si>
    <t>19710901</t>
  </si>
  <si>
    <t>DELAIR JOAO MARTINS</t>
  </si>
  <si>
    <t>20110117</t>
  </si>
  <si>
    <t>JOAO PEDRO TISANO RAMOS</t>
  </si>
  <si>
    <t>20080417</t>
  </si>
  <si>
    <t>CAIO COSTA CAMARGO</t>
  </si>
  <si>
    <t>20130119</t>
  </si>
  <si>
    <t>MEL COSTA CAMARGO</t>
  </si>
  <si>
    <t>47184510000120</t>
  </si>
  <si>
    <t>MARITIMA</t>
  </si>
  <si>
    <t>000477</t>
  </si>
  <si>
    <t>02736709802</t>
  </si>
  <si>
    <t>19610708</t>
  </si>
  <si>
    <t>ISABEL EMILIANA DA ROCHA</t>
  </si>
  <si>
    <t>04484793970</t>
  </si>
  <si>
    <t>19850509</t>
  </si>
  <si>
    <t>FERNANDA CAROLINE CORDEIRO TEIXEIRA MOTA</t>
  </si>
  <si>
    <t>04222119903</t>
  </si>
  <si>
    <t>19840818</t>
  </si>
  <si>
    <t>DIEGO PEREIRA</t>
  </si>
  <si>
    <t>10075922738</t>
  </si>
  <si>
    <t>19830526</t>
  </si>
  <si>
    <t>SIRLANE NEVES MACEDO LIMA DA SILVA</t>
  </si>
  <si>
    <t>20090101</t>
  </si>
  <si>
    <t>NINA BARBOSA WANDSCHEER</t>
  </si>
  <si>
    <t>02465048970</t>
  </si>
  <si>
    <t>19751010</t>
  </si>
  <si>
    <t>MELISSA SAMPAIO DE FREITAS BARBOSA WANDSCHEER</t>
  </si>
  <si>
    <t>02714915906</t>
  </si>
  <si>
    <t>19790507</t>
  </si>
  <si>
    <t>RAFAEL JOSE PIZZATTO</t>
  </si>
  <si>
    <t>20110503</t>
  </si>
  <si>
    <t>LEONARDO FERRARINI HALLGREN</t>
  </si>
  <si>
    <t>02040784900</t>
  </si>
  <si>
    <t>19780302</t>
  </si>
  <si>
    <t>DENISE REGINA FERRARINI HALLGREN</t>
  </si>
  <si>
    <t>20140510</t>
  </si>
  <si>
    <t>HELOISA RORIZ BENTO</t>
  </si>
  <si>
    <t>04014672956</t>
  </si>
  <si>
    <t>19840219</t>
  </si>
  <si>
    <t>CLEBERSON BENTO PINTO</t>
  </si>
  <si>
    <t>20150909</t>
  </si>
  <si>
    <t>GUILHERME CONTIN ANDRADE DE MORAES</t>
  </si>
  <si>
    <t>04670092952</t>
  </si>
  <si>
    <t>19840128</t>
  </si>
  <si>
    <t>JACQUELINE CLARICE DE MORAES</t>
  </si>
  <si>
    <t>20081202</t>
  </si>
  <si>
    <t>FERNANDA CARDOSO XAVIER DE ARAUJO</t>
  </si>
  <si>
    <t>03416588983</t>
  </si>
  <si>
    <t>19810828</t>
  </si>
  <si>
    <t>RAQUEL CARDOSO</t>
  </si>
  <si>
    <t>20080909</t>
  </si>
  <si>
    <t>GUSTAVO DE MELLO METZLR DE OLIVEIRA</t>
  </si>
  <si>
    <t>97561061820</t>
  </si>
  <si>
    <t>19580510</t>
  </si>
  <si>
    <t>LOURDES DE MOURA ASSIS TORRUBIA</t>
  </si>
  <si>
    <t>10118680838</t>
  </si>
  <si>
    <t>19670608</t>
  </si>
  <si>
    <t>LUCIENE DAMASCENO PRATES FRANCO</t>
  </si>
  <si>
    <t>39126956870</t>
  </si>
  <si>
    <t>19960502</t>
  </si>
  <si>
    <t>ANTHONY DANTAS BARRO FRANCO</t>
  </si>
  <si>
    <t>20150603</t>
  </si>
  <si>
    <t>GABRIEL MAURICIO HENRIQUE DE MELLO</t>
  </si>
  <si>
    <t>11263967701</t>
  </si>
  <si>
    <t>19840223</t>
  </si>
  <si>
    <t>SHEILA CRISTINA DE JESUS HENRIQUE DE MELLO</t>
  </si>
  <si>
    <t>02942904780</t>
  </si>
  <si>
    <t>19760603</t>
  </si>
  <si>
    <t>SYLVIO DE GOIS AZEVEDO</t>
  </si>
  <si>
    <t>20070922</t>
  </si>
  <si>
    <t>JULIA GUTERRES DE AZEVEDO</t>
  </si>
  <si>
    <t>20030828</t>
  </si>
  <si>
    <t>CATHARINA GOMES MOREIRA</t>
  </si>
  <si>
    <t>20070629</t>
  </si>
  <si>
    <t>EDUARDO GOMES MOREIRA</t>
  </si>
  <si>
    <t>10767445830</t>
  </si>
  <si>
    <t>19680816</t>
  </si>
  <si>
    <t>SOLANGE RIBEIRO DA SILVA</t>
  </si>
  <si>
    <t>20130526</t>
  </si>
  <si>
    <t>GABRIEL SILVA</t>
  </si>
  <si>
    <t>08799899639</t>
  </si>
  <si>
    <t>19900102</t>
  </si>
  <si>
    <t>ALINE MARTINS GONCALVES</t>
  </si>
  <si>
    <t>10110659830</t>
  </si>
  <si>
    <t>19680213</t>
  </si>
  <si>
    <t>INES DA SILVA OLIVEIRA</t>
  </si>
  <si>
    <t>20030213</t>
  </si>
  <si>
    <t>LETICIA QUINTANILHA BORGES DA ROCHA</t>
  </si>
  <si>
    <t>20060910</t>
  </si>
  <si>
    <t>DANIEL QUINTANILHA BORGES DA ROCHA</t>
  </si>
  <si>
    <t>02937428711</t>
  </si>
  <si>
    <t>19730702</t>
  </si>
  <si>
    <t>MARCELO ABEL DA ROCHA</t>
  </si>
  <si>
    <t>06921408914</t>
  </si>
  <si>
    <t>19900930</t>
  </si>
  <si>
    <t>LAURIE DE SIQUEIRA DA ALVARENGA</t>
  </si>
  <si>
    <t>14915767825</t>
  </si>
  <si>
    <t>GABRIEL ZUFFO MARTINS</t>
  </si>
  <si>
    <t>12954212837</t>
  </si>
  <si>
    <t>19721001</t>
  </si>
  <si>
    <t>EDNOBIA GUIMARAES SERTORI</t>
  </si>
  <si>
    <t>37173403871</t>
  </si>
  <si>
    <t>20040621</t>
  </si>
  <si>
    <t>JULIO CESAR GUIMARAES SERTORI</t>
  </si>
  <si>
    <t>37173404843</t>
  </si>
  <si>
    <t>19970721</t>
  </si>
  <si>
    <t>JOAO PEDRO GUIMARAES SERTORI</t>
  </si>
  <si>
    <t>13194489844</t>
  </si>
  <si>
    <t>19720516</t>
  </si>
  <si>
    <t>MARLUS WILTON FERREIRA VIEIRA</t>
  </si>
  <si>
    <t>20130910</t>
  </si>
  <si>
    <t>EDUARDO UNGER SILVA</t>
  </si>
  <si>
    <t>28859593808</t>
  </si>
  <si>
    <t>19810308</t>
  </si>
  <si>
    <t>ROBERTA QUEIROZ INGER</t>
  </si>
  <si>
    <t>20030411</t>
  </si>
  <si>
    <t>BEATRIZ VENEGAS CARLQUIST</t>
  </si>
  <si>
    <t>18031878838</t>
  </si>
  <si>
    <t>19720521</t>
  </si>
  <si>
    <t>TANIA APARECIDA GUEDES FERREIRA</t>
  </si>
  <si>
    <t>47139977810</t>
  </si>
  <si>
    <t>19971124</t>
  </si>
  <si>
    <t>LETICIA GUEDES FERREIRA</t>
  </si>
  <si>
    <t>27336911803</t>
  </si>
  <si>
    <t>19770123</t>
  </si>
  <si>
    <t>DENISE SEA</t>
  </si>
  <si>
    <t>20111110</t>
  </si>
  <si>
    <t>CESAR AKIRA KUONO ANRADE SILVA</t>
  </si>
  <si>
    <t>17927861824</t>
  </si>
  <si>
    <t>19761116</t>
  </si>
  <si>
    <t>AUDREY AKEMI KOUNO ANDRADE SILVA</t>
  </si>
  <si>
    <t>20050830</t>
  </si>
  <si>
    <t>GIOVANA MARIZ DE MEDEIROS GIRARDI</t>
  </si>
  <si>
    <t>20101019</t>
  </si>
  <si>
    <t>HELENA MARIZ DE MEDEIROS GIRARDI</t>
  </si>
  <si>
    <t>17297871850</t>
  </si>
  <si>
    <t>19750202</t>
  </si>
  <si>
    <t>ANDREA MARIZ DE MEDEIROS GIRARDI</t>
  </si>
  <si>
    <t>20090106</t>
  </si>
  <si>
    <t>EDUARDO POMPEU DE TOLEDO MACHADO</t>
  </si>
  <si>
    <t>PEDRO POMPEU DE TOLEDO MACHADO</t>
  </si>
  <si>
    <t>17693547860</t>
  </si>
  <si>
    <t>19711219</t>
  </si>
  <si>
    <t>LUIS AUGUSTO POMPEU DE TOLEDO MACHADO</t>
  </si>
  <si>
    <t>20060228</t>
  </si>
  <si>
    <t>BEATRIZ DE ALMEIDA LANFRANCHI</t>
  </si>
  <si>
    <t>20080808</t>
  </si>
  <si>
    <t>LUISA DE ALMEIDA LANFRANCHI</t>
  </si>
  <si>
    <t>20120328</t>
  </si>
  <si>
    <t>KARINA DE ALMEIDA LANFRANCHI</t>
  </si>
  <si>
    <t>20030412</t>
  </si>
  <si>
    <t>VICTOR BINI MACEDO</t>
  </si>
  <si>
    <t>20110924</t>
  </si>
  <si>
    <t>CAMILA BINI JUCHEM</t>
  </si>
  <si>
    <t>20031218</t>
  </si>
  <si>
    <t>THAISSA SHIMOKI MAYA</t>
  </si>
  <si>
    <t>20070709</t>
  </si>
  <si>
    <t>ENZO SHIMOKI MAYA</t>
  </si>
  <si>
    <t>18098091856</t>
  </si>
  <si>
    <t>19760805</t>
  </si>
  <si>
    <t>ISMERIA DANIELA CORTELASSE SHIMOKI MAYA</t>
  </si>
  <si>
    <t>28098535843</t>
  </si>
  <si>
    <t>19781113</t>
  </si>
  <si>
    <t>MELAINE BOCAGE STRUBING</t>
  </si>
  <si>
    <t>43092589807</t>
  </si>
  <si>
    <t>19971222</t>
  </si>
  <si>
    <t>BRUNA DE OLIVEIRA CORDEIRO</t>
  </si>
  <si>
    <t>20110614</t>
  </si>
  <si>
    <t>NINA CAMPOS BROMBERG</t>
  </si>
  <si>
    <t>31154290883</t>
  </si>
  <si>
    <t>19810811</t>
  </si>
  <si>
    <t>MILENE MILITSA BUNSCHEIT</t>
  </si>
  <si>
    <t>34276111838</t>
  </si>
  <si>
    <t>19860301</t>
  </si>
  <si>
    <t>LUCIANA RIBEIRO DA SILVA</t>
  </si>
  <si>
    <t>28289478828</t>
  </si>
  <si>
    <t>19791113</t>
  </si>
  <si>
    <t>TATIANA MACEDO SILVA DOS REIS</t>
  </si>
  <si>
    <t>44682509845</t>
  </si>
  <si>
    <t>19960717</t>
  </si>
  <si>
    <t>AMANDA JENIFFER MACEDO DOS REIS</t>
  </si>
  <si>
    <t>45363958813</t>
  </si>
  <si>
    <t>19991212</t>
  </si>
  <si>
    <t>MILENA STEFFANI MACEDO DOS REIS</t>
  </si>
  <si>
    <t>20100106</t>
  </si>
  <si>
    <t>GIOVANI PIRES RIBEIRO</t>
  </si>
  <si>
    <t>15254163836</t>
  </si>
  <si>
    <t>19730525</t>
  </si>
  <si>
    <t>ANA ROSA PIRES RIBEIRO</t>
  </si>
  <si>
    <t>20070626</t>
  </si>
  <si>
    <t>CECILIA EMI ISODA MOLLINARI</t>
  </si>
  <si>
    <t>11984189824</t>
  </si>
  <si>
    <t>19741222</t>
  </si>
  <si>
    <t>RICARDO MOLLINARI RODRIGUES</t>
  </si>
  <si>
    <t>GABRIEL VIEIRA MARCONDES</t>
  </si>
  <si>
    <t>29342230865</t>
  </si>
  <si>
    <t>19800913</t>
  </si>
  <si>
    <t>ANA FLAVIA VIEIRA MARCONDES</t>
  </si>
  <si>
    <t>29296333873</t>
  </si>
  <si>
    <t>19800423</t>
  </si>
  <si>
    <t>EDUARDO FIGUEIREDO BERTI</t>
  </si>
  <si>
    <t>20160916</t>
  </si>
  <si>
    <t>ISABEL MOTA E SILVA DE SOUSA</t>
  </si>
  <si>
    <t>33969538866</t>
  </si>
  <si>
    <t>19781211</t>
  </si>
  <si>
    <t>LIA MOTA E SILVA</t>
  </si>
  <si>
    <t>20050623</t>
  </si>
  <si>
    <t>VINICIUS KENJI DOS SANTOS ENOKI</t>
  </si>
  <si>
    <t>20080717</t>
  </si>
  <si>
    <t>AISHA YUMI RIBEIRO DOS SANTOS ENOKI</t>
  </si>
  <si>
    <t>20090529</t>
  </si>
  <si>
    <t>NINA SAYURI DOS SANTOS ENOKI</t>
  </si>
  <si>
    <t>28596100814</t>
  </si>
  <si>
    <t>19760629</t>
  </si>
  <si>
    <t>MICHELE CASSIA MINGORANCE TEIXEIRA</t>
  </si>
  <si>
    <t>20160403</t>
  </si>
  <si>
    <t>ANNA JULIA MARQUES NASCIMENTO</t>
  </si>
  <si>
    <t>13813003833</t>
  </si>
  <si>
    <t>19760324</t>
  </si>
  <si>
    <t>UEIDERSON LUIS NASCIMENTO</t>
  </si>
  <si>
    <t>45887834838</t>
  </si>
  <si>
    <t>19991203</t>
  </si>
  <si>
    <t>VICTOR HUGO MARQUES NASCIMENTO</t>
  </si>
  <si>
    <t>45887919825</t>
  </si>
  <si>
    <t>20110511</t>
  </si>
  <si>
    <t>RAFAELLA MARQUES NASCIMENTO</t>
  </si>
  <si>
    <t>20130530</t>
  </si>
  <si>
    <t>ARTHUR TOLOMEI JARDIM</t>
  </si>
  <si>
    <t>07578259741</t>
  </si>
  <si>
    <t>19760923</t>
  </si>
  <si>
    <t>LUCIANA TOLOMEI</t>
  </si>
  <si>
    <t>35167914892</t>
  </si>
  <si>
    <t>19860727</t>
  </si>
  <si>
    <t>GABRIELA BRAGA PEREIRA</t>
  </si>
  <si>
    <t>20071029</t>
  </si>
  <si>
    <t>MIGUEL GUEDES CARNEIRO</t>
  </si>
  <si>
    <t>20070830</t>
  </si>
  <si>
    <t>HELOISA BARROS DE PAULA</t>
  </si>
  <si>
    <t>27485580817</t>
  </si>
  <si>
    <t>19770916</t>
  </si>
  <si>
    <t>PATRICIA BARROS DE PAULA</t>
  </si>
  <si>
    <t>20100616</t>
  </si>
  <si>
    <t>LUIZA JUNQUEIRA SANTOMAURO</t>
  </si>
  <si>
    <t>20121001</t>
  </si>
  <si>
    <t>CAIO JUNQUEIRA</t>
  </si>
  <si>
    <t>28327115880</t>
  </si>
  <si>
    <t>19750723</t>
  </si>
  <si>
    <t>CAMILA JUNQUEIRA</t>
  </si>
  <si>
    <t>17693274871</t>
  </si>
  <si>
    <t>19740303</t>
  </si>
  <si>
    <t>ARNALDO VARALDA FILHO</t>
  </si>
  <si>
    <t>20130616</t>
  </si>
  <si>
    <t>JOAO VITOR MARQUEZINI ISHICAVA</t>
  </si>
  <si>
    <t>28873194850</t>
  </si>
  <si>
    <t>19800729</t>
  </si>
  <si>
    <t>GISELE AP MARQUEZINI</t>
  </si>
  <si>
    <t>20090403</t>
  </si>
  <si>
    <t>LUCAS FERNANDO CUNHA VIDAL</t>
  </si>
  <si>
    <t>20140217</t>
  </si>
  <si>
    <t>HENRIQUE FERNANDO CUNHA VIDAL</t>
  </si>
  <si>
    <t>20110309</t>
  </si>
  <si>
    <t>JULIA NASCIMENTO PIRES</t>
  </si>
  <si>
    <t>20150818</t>
  </si>
  <si>
    <t>LAURA MAGALHAES DO NASCIMENTO PIRES</t>
  </si>
  <si>
    <t>25368121890</t>
  </si>
  <si>
    <t>19770708</t>
  </si>
  <si>
    <t>MAURICIO DE OLIVEIRA PIRES</t>
  </si>
  <si>
    <t>27672874896</t>
  </si>
  <si>
    <t>19790630</t>
  </si>
  <si>
    <t>ALEXANDRE TORRICELLI DO AMARAL</t>
  </si>
  <si>
    <t>20120726</t>
  </si>
  <si>
    <t>SOFIA AYLA SOUZA OZDEMIR</t>
  </si>
  <si>
    <t>20150202</t>
  </si>
  <si>
    <t>JONAS ZEKI SOUSA OZDEMIR</t>
  </si>
  <si>
    <t>23332181858</t>
  </si>
  <si>
    <t>19820225</t>
  </si>
  <si>
    <t>CIHANGER DENIZ OZDEMIR</t>
  </si>
  <si>
    <t>52064762850</t>
  </si>
  <si>
    <t>20161111</t>
  </si>
  <si>
    <t>HELENA SUPERTI BURLEIGH</t>
  </si>
  <si>
    <t>20160201</t>
  </si>
  <si>
    <t>GIOVANNA GARUFI HELOU LUBAS</t>
  </si>
  <si>
    <t>31228179859</t>
  </si>
  <si>
    <t>19830109</t>
  </si>
  <si>
    <t>MARCELLA SILVA SANTOS VASCONCELOS</t>
  </si>
  <si>
    <t>35958115855</t>
  </si>
  <si>
    <t>19870302</t>
  </si>
  <si>
    <t>ANNA CATERINA BIANCHINI GARCIA</t>
  </si>
  <si>
    <t>20100508</t>
  </si>
  <si>
    <t>BERNARDO VERISSIMO CARVALHO</t>
  </si>
  <si>
    <t>34313161821</t>
  </si>
  <si>
    <t>19850926</t>
  </si>
  <si>
    <t>ADRIANA GISELE DE MATOS MILANI</t>
  </si>
  <si>
    <t>11401734804</t>
  </si>
  <si>
    <t>19650628</t>
  </si>
  <si>
    <t>WAGNER VENDRAMINI PRETEL</t>
  </si>
  <si>
    <t>49679219810</t>
  </si>
  <si>
    <t>19980916</t>
  </si>
  <si>
    <t>HENRIQUE LUDOVICO PRETEL</t>
  </si>
  <si>
    <t>20020504</t>
  </si>
  <si>
    <t>HEITOR LUDOVICO PRETEL</t>
  </si>
  <si>
    <t>20041109</t>
  </si>
  <si>
    <t>MARCELA MOYSES GINACK</t>
  </si>
  <si>
    <t>00871979870</t>
  </si>
  <si>
    <t>19600908</t>
  </si>
  <si>
    <t>MARISA GREGOLDO ALVES BARROSO</t>
  </si>
  <si>
    <t>20040505</t>
  </si>
  <si>
    <t>PAULA MOTTA PAUPERIO</t>
  </si>
  <si>
    <t>20050913</t>
  </si>
  <si>
    <t>BERNARDO MOTTA PAUPERIO</t>
  </si>
  <si>
    <t>87437520982</t>
  </si>
  <si>
    <t>19700609</t>
  </si>
  <si>
    <t>ANDRE LUIZ DA MOTTA BEZERRA</t>
  </si>
  <si>
    <t>07907332508</t>
  </si>
  <si>
    <t>19990922</t>
  </si>
  <si>
    <t>ISIS BASTOS BARBOSA</t>
  </si>
  <si>
    <t>98741578520</t>
  </si>
  <si>
    <t>19790707</t>
  </si>
  <si>
    <t>ALICE MOREIRA SILVA</t>
  </si>
  <si>
    <t>41023302837</t>
  </si>
  <si>
    <t>19920419</t>
  </si>
  <si>
    <t>JESSICA CAMARGO VARRICHIO</t>
  </si>
  <si>
    <t>08035286986</t>
  </si>
  <si>
    <t>19950602</t>
  </si>
  <si>
    <t>NAIARA AKEL DE PAULI</t>
  </si>
  <si>
    <t>58119199000151</t>
  </si>
  <si>
    <t>ODONTOPREV SA</t>
  </si>
  <si>
    <t>301949</t>
  </si>
  <si>
    <t>13371283763</t>
  </si>
  <si>
    <t>19980926</t>
  </si>
  <si>
    <t>TALESSO DO CARMO GUASTI</t>
  </si>
  <si>
    <t>06</t>
  </si>
  <si>
    <t>02254098608</t>
  </si>
  <si>
    <t>19991214</t>
  </si>
  <si>
    <t>KARLA DAYANE CORREA FREITAS</t>
  </si>
  <si>
    <t>20110418</t>
  </si>
  <si>
    <t>PEDRO MELO FRANCO BATISTA</t>
  </si>
  <si>
    <t>26343078886</t>
  </si>
  <si>
    <t>19740430</t>
  </si>
  <si>
    <t>LUCIANA MANTOVANELLI PACHECO</t>
  </si>
  <si>
    <t>21420991817</t>
  </si>
  <si>
    <t>ALEXANDER DE CARVALHO FERREIRA</t>
  </si>
  <si>
    <t>85798410110</t>
  </si>
  <si>
    <t>19780811</t>
  </si>
  <si>
    <t>AUDES LUIS MEIRA LUBAS</t>
  </si>
  <si>
    <t>43391539828</t>
  </si>
  <si>
    <t>19860121</t>
  </si>
  <si>
    <t>GISELY SECKLER DE CARVALHO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</si>
</sst>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theme="1"/>
      <name val="Arial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2" fillId="0" borderId="0" xfId="0" applyFont="1" applyBorder="1"/>
    <xf numFmtId="49" fontId="3" fillId="3" borderId="1" xfId="0" applyNumberFormat="1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/>
    </xf>
    <xf numFmtId="0" fontId="0" fillId="0" borderId="1" xfId="0" applyBorder="1"/>
    <xf numFmtId="49" fontId="5" fillId="0" borderId="0" xfId="0" applyNumberFormat="1" applyFont="1" applyBorder="1"/>
    <xf numFmtId="49" fontId="2" fillId="0" borderId="0" xfId="0" applyNumberFormat="1" applyFont="1" applyBorder="1"/>
    <xf numFmtId="0" fontId="5" fillId="0" borderId="0" xfId="0" applyFont="1"/>
    <xf numFmtId="49" fontId="5" fillId="0" borderId="0" xfId="0" applyNumberFormat="1" applyFont="1"/>
    <xf numFmtId="49" fontId="0" fillId="0" borderId="1" xfId="0" applyNumberFormat="1" applyBorder="1"/>
    <xf numFmtId="49" fontId="3" fillId="3" borderId="2" xfId="0" applyNumberFormat="1" applyFont="1" applyFill="1" applyBorder="1" applyAlignment="1">
      <alignment horizontal="center" vertical="center" wrapText="1"/>
    </xf>
    <xf numFmtId="0" fontId="5" fillId="0" borderId="0" xfId="0" applyNumberFormat="1" applyFont="1"/>
    <xf numFmtId="2" fontId="3" fillId="3" borderId="1" xfId="0" applyNumberFormat="1" applyFont="1" applyFill="1" applyBorder="1" applyAlignment="1">
      <alignment horizontal="center" vertical="center" wrapText="1"/>
    </xf>
    <xf numFmtId="2" fontId="5" fillId="0" borderId="0" xfId="0" applyNumberFormat="1" applyFont="1"/>
    <xf numFmtId="2" fontId="0" fillId="0" borderId="0" xfId="0" applyNumberFormat="1"/>
    <xf numFmtId="2" fontId="3" fillId="3" borderId="2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Border="1" applyAlignment="1">
      <alignment horizontal="center" vertical="center" wrapText="1"/>
    </xf>
    <xf numFmtId="49" fontId="1" fillId="2" borderId="0" xfId="0" applyNumberFormat="1" applyFont="1" applyFill="1" applyBorder="1" applyAlignment="1">
      <alignment horizontal="center" vertical="center"/>
    </xf>
    <xf numFmtId="49" fontId="1" fillId="2" borderId="8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/>
    </xf>
    <xf numFmtId="49" fontId="1" fillId="2" borderId="1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38100</xdr:rowOff>
        </xdr:from>
        <xdr:to>
          <xdr:col>3</xdr:col>
          <xdr:colOff>209550</xdr:colOff>
          <xdr:row>6</xdr:row>
          <xdr:rowOff>66675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0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PLAN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0</xdr:row>
          <xdr:rowOff>447675</xdr:rowOff>
        </xdr:from>
        <xdr:to>
          <xdr:col>13</xdr:col>
          <xdr:colOff>628650</xdr:colOff>
          <xdr:row>1</xdr:row>
          <xdr:rowOff>742950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31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219075</xdr:rowOff>
        </xdr:from>
        <xdr:to>
          <xdr:col>9</xdr:col>
          <xdr:colOff>609600</xdr:colOff>
          <xdr:row>1</xdr:row>
          <xdr:rowOff>533400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0000000-0008-0000-3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0</xdr:row>
          <xdr:rowOff>142875</xdr:rowOff>
        </xdr:from>
        <xdr:to>
          <xdr:col>12</xdr:col>
          <xdr:colOff>19050</xdr:colOff>
          <xdr:row>1</xdr:row>
          <xdr:rowOff>504825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3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Arquivo da DIRF.001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</xdr:row>
          <xdr:rowOff>38100</xdr:rowOff>
        </xdr:from>
        <xdr:to>
          <xdr:col>8</xdr:col>
          <xdr:colOff>323850</xdr:colOff>
          <xdr:row>6</xdr:row>
          <xdr:rowOff>152400</xdr:rowOff>
        </xdr:to>
        <xdr:sp macro="" textlink="">
          <xdr:nvSpPr>
            <xdr:cNvPr id="32775" name="Object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33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4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5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6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7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30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1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2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3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4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5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6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7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8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9.v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40.v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5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3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"/>
  <sheetViews>
    <sheetView workbookViewId="0">
      <selection activeCell="E21" sqref="E2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Botão1_PgDIRF">
                <anchor moveWithCells="1" sizeWithCells="1">
                  <from>
                    <xdr:col>0</xdr:col>
                    <xdr:colOff>390525</xdr:colOff>
                    <xdr:row>2</xdr:row>
                    <xdr:rowOff>38100</xdr:rowOff>
                  </from>
                  <to>
                    <xdr:col>3</xdr:col>
                    <xdr:colOff>209550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G2"/>
  <sheetViews>
    <sheetView topLeftCell="B2" workbookViewId="0">
      <selection activeCell="E14" sqref="E14"/>
    </sheetView>
  </sheetViews>
  <sheetFormatPr defaultRowHeight="15" x14ac:dyDescent="0.25"/>
  <cols>
    <col min="1" max="1" width="0" style="9" hidden="1" customWidth="1"/>
    <col min="2" max="2" width="21.5" style="10" customWidth="1"/>
    <col min="3" max="3" width="43.625" style="9" customWidth="1"/>
    <col min="4" max="4" width="16.875" style="15" customWidth="1"/>
    <col min="5" max="6" width="9" style="15"/>
    <col min="7" max="7" width="9" style="9"/>
  </cols>
  <sheetData>
    <row r="1" spans="1:7" ht="47.85" customHeight="1" x14ac:dyDescent="0.25">
      <c r="A1" s="18" t="s">
        <v>61</v>
      </c>
      <c r="B1" s="19"/>
      <c r="C1" s="19"/>
      <c r="D1" s="19"/>
      <c r="E1" s="19"/>
      <c r="F1" s="19"/>
      <c r="G1" s="20"/>
    </row>
    <row r="2" spans="1:7" ht="72" x14ac:dyDescent="0.25">
      <c r="A2" s="12"/>
      <c r="B2" s="12" t="s">
        <v>66</v>
      </c>
      <c r="C2" s="12" t="s">
        <v>67</v>
      </c>
      <c r="D2" s="17" t="str">
        <f>CONCATENATE("Valor do reembolso do anocalendário",CHAR(10),"TOTAL: ",SUM(D3:D1048576))</f>
        <v>Valor do reembolso do anocalendário
TOTAL: 0</v>
      </c>
      <c r="E2" s="17" t="str">
        <f>CONCATENATE("Valor do reembolso do anocalendário",CHAR(10),"TOTAL: ",SUM(E3:E1048576))</f>
        <v>Valor do reembolso do anocalendário
TOTAL: 0</v>
      </c>
      <c r="F2" s="17" t="s">
        <v>49</v>
      </c>
      <c r="G2" s="12" t="s">
        <v>23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G244"/>
  <sheetViews>
    <sheetView workbookViewId="0">
      <selection activeCell="G2" sqref="G2"/>
    </sheetView>
  </sheetViews>
  <sheetFormatPr defaultRowHeight="15" x14ac:dyDescent="0.25"/>
  <cols>
    <col min="1" max="1" width="13.75" style="9" bestFit="1" customWidth="1"/>
    <col min="2" max="2" width="13.75" style="10" customWidth="1"/>
    <col min="3" max="3" width="11.875" style="10" bestFit="1" customWidth="1"/>
    <col min="4" max="4" width="10.5" style="10" bestFit="1" customWidth="1"/>
    <col min="5" max="5" width="28.25" style="10" customWidth="1"/>
    <col min="6" max="6" width="8.75" style="10" customWidth="1"/>
    <col min="7" max="7" width="11.75" style="15" customWidth="1"/>
  </cols>
  <sheetData>
    <row r="1" spans="1:7" ht="47.85" customHeight="1" x14ac:dyDescent="0.25">
      <c r="A1" s="21" t="s">
        <v>61</v>
      </c>
      <c r="B1" s="22"/>
      <c r="C1" s="22"/>
      <c r="D1" s="22"/>
      <c r="E1" s="22"/>
      <c r="F1" s="22"/>
      <c r="G1" s="22"/>
    </row>
    <row r="2" spans="1:7" ht="48" x14ac:dyDescent="0.25">
      <c r="A2" s="12" t="s">
        <v>70</v>
      </c>
      <c r="B2" s="12" t="s">
        <v>72</v>
      </c>
      <c r="C2" s="12" t="s">
        <v>63</v>
      </c>
      <c r="D2" s="12" t="s">
        <v>64</v>
      </c>
      <c r="E2" s="12" t="s">
        <v>23</v>
      </c>
      <c r="F2" s="12" t="s">
        <v>65</v>
      </c>
      <c r="G2" s="17" t="str">
        <f>CONCATENATE("Valor pago no Ano",CHAR(10),"TOTAL: ",ROUND(SUM(G3:G1048576),2))</f>
        <v>Valor pago no Ano
TOTAL: 121024,07</v>
      </c>
    </row>
    <row r="3" spans="1:7" x14ac:dyDescent="0.25">
      <c r="A3" s="9" t="s">
        <v>562</v>
      </c>
      <c r="B3" s="10" t="s">
        <v>88</v>
      </c>
      <c r="C3" s="10" t="s">
        <v>564</v>
      </c>
      <c r="D3" s="10" t="s">
        <v>565</v>
      </c>
      <c r="E3" s="10" t="s">
        <v>566</v>
      </c>
      <c r="F3" s="10" t="s">
        <v>567</v>
      </c>
      <c r="G3" s="15">
        <v>725.61</v>
      </c>
    </row>
    <row r="4" spans="1:7" x14ac:dyDescent="0.25">
      <c r="A4" s="9" t="s">
        <v>562</v>
      </c>
      <c r="B4" s="10" t="s">
        <v>88</v>
      </c>
      <c r="C4" s="10" t="s">
        <v>568</v>
      </c>
      <c r="D4" s="10" t="s">
        <v>569</v>
      </c>
      <c r="E4" s="10" t="s">
        <v>570</v>
      </c>
      <c r="F4" s="10" t="s">
        <v>571</v>
      </c>
      <c r="G4" s="15">
        <v>725.61</v>
      </c>
    </row>
    <row r="5" spans="1:7" x14ac:dyDescent="0.25">
      <c r="A5" s="9" t="s">
        <v>562</v>
      </c>
      <c r="B5" s="10" t="s">
        <v>94</v>
      </c>
      <c r="C5" s="10" t="s">
        <v>572</v>
      </c>
      <c r="D5" s="10" t="s">
        <v>573</v>
      </c>
      <c r="E5" s="10" t="s">
        <v>574</v>
      </c>
      <c r="F5" s="10" t="s">
        <v>567</v>
      </c>
      <c r="G5" s="15">
        <v>615.32000000000005</v>
      </c>
    </row>
    <row r="6" spans="1:7" x14ac:dyDescent="0.25">
      <c r="A6" s="9" t="s">
        <v>562</v>
      </c>
      <c r="B6" s="10" t="s">
        <v>94</v>
      </c>
      <c r="C6" s="10" t="s">
        <v>575</v>
      </c>
      <c r="D6" s="10" t="s">
        <v>576</v>
      </c>
      <c r="E6" s="10" t="s">
        <v>577</v>
      </c>
      <c r="F6" s="10" t="s">
        <v>571</v>
      </c>
      <c r="G6" s="15">
        <v>615.32000000000005</v>
      </c>
    </row>
    <row r="7" spans="1:7" x14ac:dyDescent="0.25">
      <c r="A7" s="9" t="s">
        <v>562</v>
      </c>
      <c r="B7" s="10" t="s">
        <v>106</v>
      </c>
      <c r="C7" s="10" t="s">
        <v>578</v>
      </c>
      <c r="D7" s="10" t="s">
        <v>579</v>
      </c>
      <c r="E7" s="10" t="s">
        <v>580</v>
      </c>
      <c r="F7" s="10" t="s">
        <v>567</v>
      </c>
      <c r="G7" s="15">
        <v>725.61</v>
      </c>
    </row>
    <row r="8" spans="1:7" x14ac:dyDescent="0.25">
      <c r="A8" s="9" t="s">
        <v>562</v>
      </c>
      <c r="B8" s="10" t="s">
        <v>130</v>
      </c>
      <c r="C8" s="10" t="s">
        <v>581</v>
      </c>
      <c r="D8" s="10" t="s">
        <v>582</v>
      </c>
      <c r="E8" s="10" t="s">
        <v>583</v>
      </c>
      <c r="F8" s="10" t="s">
        <v>567</v>
      </c>
      <c r="G8" s="15">
        <v>725.61</v>
      </c>
    </row>
    <row r="9" spans="1:7" x14ac:dyDescent="0.25">
      <c r="A9" s="9" t="s">
        <v>562</v>
      </c>
      <c r="B9" s="10" t="s">
        <v>134</v>
      </c>
      <c r="C9" s="10" t="s">
        <v>75</v>
      </c>
      <c r="D9" s="10" t="s">
        <v>584</v>
      </c>
      <c r="E9" s="10" t="s">
        <v>585</v>
      </c>
      <c r="F9" s="10" t="s">
        <v>571</v>
      </c>
      <c r="G9" s="15">
        <v>725.61</v>
      </c>
    </row>
    <row r="10" spans="1:7" x14ac:dyDescent="0.25">
      <c r="A10" s="9" t="s">
        <v>562</v>
      </c>
      <c r="B10" s="10" t="s">
        <v>134</v>
      </c>
      <c r="C10" s="10" t="s">
        <v>586</v>
      </c>
      <c r="D10" s="10" t="s">
        <v>587</v>
      </c>
      <c r="E10" s="10" t="s">
        <v>588</v>
      </c>
      <c r="F10" s="10" t="s">
        <v>567</v>
      </c>
      <c r="G10" s="15">
        <v>725.61</v>
      </c>
    </row>
    <row r="11" spans="1:7" x14ac:dyDescent="0.25">
      <c r="A11" s="9" t="s">
        <v>562</v>
      </c>
      <c r="B11" s="10" t="s">
        <v>136</v>
      </c>
      <c r="C11" s="10" t="s">
        <v>75</v>
      </c>
      <c r="D11" s="10" t="s">
        <v>589</v>
      </c>
      <c r="E11" s="10" t="s">
        <v>590</v>
      </c>
      <c r="F11" s="10" t="s">
        <v>571</v>
      </c>
      <c r="G11" s="15">
        <v>134.6</v>
      </c>
    </row>
    <row r="12" spans="1:7" x14ac:dyDescent="0.25">
      <c r="A12" s="9" t="s">
        <v>562</v>
      </c>
      <c r="B12" s="10" t="s">
        <v>138</v>
      </c>
      <c r="C12" s="10" t="s">
        <v>75</v>
      </c>
      <c r="D12" s="10" t="s">
        <v>591</v>
      </c>
      <c r="E12" s="10" t="s">
        <v>592</v>
      </c>
      <c r="F12" s="10" t="s">
        <v>571</v>
      </c>
      <c r="G12" s="15">
        <v>438.14</v>
      </c>
    </row>
    <row r="13" spans="1:7" x14ac:dyDescent="0.25">
      <c r="A13" s="9" t="s">
        <v>562</v>
      </c>
      <c r="B13" s="10" t="s">
        <v>138</v>
      </c>
      <c r="C13" s="10" t="s">
        <v>593</v>
      </c>
      <c r="D13" s="10" t="s">
        <v>594</v>
      </c>
      <c r="E13" s="10" t="s">
        <v>595</v>
      </c>
      <c r="F13" s="10" t="s">
        <v>567</v>
      </c>
      <c r="G13" s="15">
        <v>438.14</v>
      </c>
    </row>
    <row r="14" spans="1:7" x14ac:dyDescent="0.25">
      <c r="A14" s="9" t="s">
        <v>562</v>
      </c>
      <c r="B14" s="10" t="s">
        <v>138</v>
      </c>
      <c r="C14" s="10" t="s">
        <v>596</v>
      </c>
      <c r="D14" s="10" t="s">
        <v>597</v>
      </c>
      <c r="E14" s="10" t="s">
        <v>598</v>
      </c>
      <c r="F14" s="10" t="s">
        <v>571</v>
      </c>
      <c r="G14" s="15">
        <v>438.14</v>
      </c>
    </row>
    <row r="15" spans="1:7" x14ac:dyDescent="0.25">
      <c r="A15" s="9" t="s">
        <v>562</v>
      </c>
      <c r="B15" s="10" t="s">
        <v>142</v>
      </c>
      <c r="C15" s="10" t="s">
        <v>75</v>
      </c>
      <c r="D15" s="10" t="s">
        <v>599</v>
      </c>
      <c r="E15" s="10" t="s">
        <v>600</v>
      </c>
      <c r="F15" s="10" t="s">
        <v>571</v>
      </c>
      <c r="G15" s="15">
        <v>725.61</v>
      </c>
    </row>
    <row r="16" spans="1:7" x14ac:dyDescent="0.25">
      <c r="A16" s="9" t="s">
        <v>562</v>
      </c>
      <c r="B16" s="10" t="s">
        <v>142</v>
      </c>
      <c r="C16" s="10" t="s">
        <v>601</v>
      </c>
      <c r="D16" s="10" t="s">
        <v>602</v>
      </c>
      <c r="E16" s="10" t="s">
        <v>603</v>
      </c>
      <c r="F16" s="10" t="s">
        <v>567</v>
      </c>
      <c r="G16" s="15">
        <v>725.61</v>
      </c>
    </row>
    <row r="17" spans="1:7" x14ac:dyDescent="0.25">
      <c r="A17" s="9" t="s">
        <v>562</v>
      </c>
      <c r="B17" s="10" t="s">
        <v>174</v>
      </c>
      <c r="C17" s="10" t="s">
        <v>75</v>
      </c>
      <c r="D17" s="10" t="s">
        <v>604</v>
      </c>
      <c r="E17" s="10" t="s">
        <v>605</v>
      </c>
      <c r="F17" s="10" t="s">
        <v>571</v>
      </c>
      <c r="G17" s="15">
        <v>260.95999999999998</v>
      </c>
    </row>
    <row r="18" spans="1:7" x14ac:dyDescent="0.25">
      <c r="A18" s="9" t="s">
        <v>562</v>
      </c>
      <c r="B18" s="10" t="s">
        <v>178</v>
      </c>
      <c r="C18" s="10" t="s">
        <v>606</v>
      </c>
      <c r="D18" s="10" t="s">
        <v>607</v>
      </c>
      <c r="E18" s="10" t="s">
        <v>608</v>
      </c>
      <c r="F18" s="10" t="s">
        <v>567</v>
      </c>
      <c r="G18" s="15">
        <v>379.08</v>
      </c>
    </row>
    <row r="19" spans="1:7" x14ac:dyDescent="0.25">
      <c r="A19" s="9" t="s">
        <v>562</v>
      </c>
      <c r="B19" s="10" t="s">
        <v>180</v>
      </c>
      <c r="C19" s="10" t="s">
        <v>75</v>
      </c>
      <c r="D19" s="10" t="s">
        <v>609</v>
      </c>
      <c r="E19" s="10" t="s">
        <v>610</v>
      </c>
      <c r="F19" s="10" t="s">
        <v>571</v>
      </c>
      <c r="G19" s="15">
        <v>725.61</v>
      </c>
    </row>
    <row r="20" spans="1:7" x14ac:dyDescent="0.25">
      <c r="A20" s="9" t="s">
        <v>562</v>
      </c>
      <c r="B20" s="10" t="s">
        <v>180</v>
      </c>
      <c r="C20" s="10" t="s">
        <v>611</v>
      </c>
      <c r="D20" s="10" t="s">
        <v>612</v>
      </c>
      <c r="E20" s="10" t="s">
        <v>613</v>
      </c>
      <c r="F20" s="10" t="s">
        <v>567</v>
      </c>
      <c r="G20" s="15">
        <v>725.61</v>
      </c>
    </row>
    <row r="21" spans="1:7" x14ac:dyDescent="0.25">
      <c r="A21" s="9" t="s">
        <v>562</v>
      </c>
      <c r="B21" s="10" t="s">
        <v>190</v>
      </c>
      <c r="C21" s="10" t="s">
        <v>75</v>
      </c>
      <c r="D21" s="10" t="s">
        <v>614</v>
      </c>
      <c r="E21" s="10" t="s">
        <v>615</v>
      </c>
      <c r="F21" s="10" t="s">
        <v>571</v>
      </c>
      <c r="G21" s="15">
        <v>260.95999999999998</v>
      </c>
    </row>
    <row r="22" spans="1:7" x14ac:dyDescent="0.25">
      <c r="A22" s="9" t="s">
        <v>562</v>
      </c>
      <c r="B22" s="10" t="s">
        <v>214</v>
      </c>
      <c r="C22" s="10" t="s">
        <v>616</v>
      </c>
      <c r="D22" s="10" t="s">
        <v>617</v>
      </c>
      <c r="E22" s="10" t="s">
        <v>618</v>
      </c>
      <c r="F22" s="10" t="s">
        <v>567</v>
      </c>
      <c r="G22" s="15">
        <v>725.61</v>
      </c>
    </row>
    <row r="23" spans="1:7" x14ac:dyDescent="0.25">
      <c r="A23" s="9" t="s">
        <v>562</v>
      </c>
      <c r="B23" s="10" t="s">
        <v>214</v>
      </c>
      <c r="C23" s="10" t="s">
        <v>619</v>
      </c>
      <c r="D23" s="10" t="s">
        <v>620</v>
      </c>
      <c r="E23" s="10" t="s">
        <v>621</v>
      </c>
      <c r="F23" s="10" t="s">
        <v>571</v>
      </c>
      <c r="G23" s="15">
        <v>725.61</v>
      </c>
    </row>
    <row r="24" spans="1:7" x14ac:dyDescent="0.25">
      <c r="A24" s="9" t="s">
        <v>562</v>
      </c>
      <c r="B24" s="10" t="s">
        <v>222</v>
      </c>
      <c r="C24" s="10" t="s">
        <v>622</v>
      </c>
      <c r="D24" s="10" t="s">
        <v>623</v>
      </c>
      <c r="E24" s="10" t="s">
        <v>624</v>
      </c>
      <c r="F24" s="10" t="s">
        <v>567</v>
      </c>
      <c r="G24" s="15">
        <v>725.61</v>
      </c>
    </row>
    <row r="25" spans="1:7" x14ac:dyDescent="0.25">
      <c r="A25" s="9" t="s">
        <v>562</v>
      </c>
      <c r="B25" s="10" t="s">
        <v>222</v>
      </c>
      <c r="C25" s="10" t="s">
        <v>625</v>
      </c>
      <c r="D25" s="10" t="s">
        <v>626</v>
      </c>
      <c r="E25" s="10" t="s">
        <v>627</v>
      </c>
      <c r="F25" s="10" t="s">
        <v>571</v>
      </c>
      <c r="G25" s="15">
        <v>725.61</v>
      </c>
    </row>
    <row r="26" spans="1:7" x14ac:dyDescent="0.25">
      <c r="A26" s="9" t="s">
        <v>562</v>
      </c>
      <c r="B26" s="10" t="s">
        <v>222</v>
      </c>
      <c r="C26" s="10" t="s">
        <v>628</v>
      </c>
      <c r="D26" s="10" t="s">
        <v>629</v>
      </c>
      <c r="E26" s="10" t="s">
        <v>630</v>
      </c>
      <c r="F26" s="10" t="s">
        <v>571</v>
      </c>
      <c r="G26" s="15">
        <v>725.61</v>
      </c>
    </row>
    <row r="27" spans="1:7" x14ac:dyDescent="0.25">
      <c r="A27" s="9" t="s">
        <v>562</v>
      </c>
      <c r="B27" s="10" t="s">
        <v>282</v>
      </c>
      <c r="C27" s="10" t="s">
        <v>75</v>
      </c>
      <c r="D27" s="10" t="s">
        <v>631</v>
      </c>
      <c r="E27" s="10" t="s">
        <v>632</v>
      </c>
      <c r="F27" s="10" t="s">
        <v>571</v>
      </c>
      <c r="G27" s="15">
        <v>725.61</v>
      </c>
    </row>
    <row r="28" spans="1:7" x14ac:dyDescent="0.25">
      <c r="A28" s="9" t="s">
        <v>562</v>
      </c>
      <c r="B28" s="10" t="s">
        <v>282</v>
      </c>
      <c r="C28" s="10" t="s">
        <v>75</v>
      </c>
      <c r="D28" s="10" t="s">
        <v>633</v>
      </c>
      <c r="E28" s="10" t="s">
        <v>634</v>
      </c>
      <c r="F28" s="10" t="s">
        <v>571</v>
      </c>
      <c r="G28" s="15">
        <v>725.61</v>
      </c>
    </row>
    <row r="29" spans="1:7" x14ac:dyDescent="0.25">
      <c r="A29" s="9" t="s">
        <v>562</v>
      </c>
      <c r="B29" s="10" t="s">
        <v>282</v>
      </c>
      <c r="C29" s="10" t="s">
        <v>635</v>
      </c>
      <c r="D29" s="10" t="s">
        <v>636</v>
      </c>
      <c r="E29" s="10" t="s">
        <v>637</v>
      </c>
      <c r="F29" s="10" t="s">
        <v>567</v>
      </c>
      <c r="G29" s="15">
        <v>725.61</v>
      </c>
    </row>
    <row r="30" spans="1:7" x14ac:dyDescent="0.25">
      <c r="A30" s="9" t="s">
        <v>562</v>
      </c>
      <c r="B30" s="10" t="s">
        <v>298</v>
      </c>
      <c r="C30" s="10" t="s">
        <v>75</v>
      </c>
      <c r="D30" s="10" t="s">
        <v>638</v>
      </c>
      <c r="E30" s="10" t="s">
        <v>639</v>
      </c>
      <c r="F30" s="10" t="s">
        <v>571</v>
      </c>
      <c r="G30" s="15">
        <v>725.61</v>
      </c>
    </row>
    <row r="31" spans="1:7" x14ac:dyDescent="0.25">
      <c r="A31" s="9" t="s">
        <v>562</v>
      </c>
      <c r="B31" s="10" t="s">
        <v>298</v>
      </c>
      <c r="C31" s="10" t="s">
        <v>75</v>
      </c>
      <c r="D31" s="10" t="s">
        <v>640</v>
      </c>
      <c r="E31" s="10" t="s">
        <v>641</v>
      </c>
      <c r="F31" s="10" t="s">
        <v>571</v>
      </c>
      <c r="G31" s="15">
        <v>725.61</v>
      </c>
    </row>
    <row r="32" spans="1:7" x14ac:dyDescent="0.25">
      <c r="A32" s="9" t="s">
        <v>562</v>
      </c>
      <c r="B32" s="10" t="s">
        <v>298</v>
      </c>
      <c r="C32" s="10" t="s">
        <v>642</v>
      </c>
      <c r="D32" s="10" t="s">
        <v>643</v>
      </c>
      <c r="E32" s="10" t="s">
        <v>644</v>
      </c>
      <c r="F32" s="10" t="s">
        <v>567</v>
      </c>
      <c r="G32" s="15">
        <v>725.61</v>
      </c>
    </row>
    <row r="33" spans="1:7" x14ac:dyDescent="0.25">
      <c r="A33" s="9" t="s">
        <v>562</v>
      </c>
      <c r="B33" s="10" t="s">
        <v>310</v>
      </c>
      <c r="C33" s="10" t="s">
        <v>645</v>
      </c>
      <c r="D33" s="10" t="s">
        <v>646</v>
      </c>
      <c r="E33" s="10" t="s">
        <v>647</v>
      </c>
      <c r="F33" s="10" t="s">
        <v>648</v>
      </c>
      <c r="G33" s="15">
        <v>438.14</v>
      </c>
    </row>
    <row r="34" spans="1:7" x14ac:dyDescent="0.25">
      <c r="A34" s="9" t="s">
        <v>562</v>
      </c>
      <c r="B34" s="10" t="s">
        <v>310</v>
      </c>
      <c r="C34" s="10" t="s">
        <v>649</v>
      </c>
      <c r="D34" s="10" t="s">
        <v>650</v>
      </c>
      <c r="E34" s="10" t="s">
        <v>651</v>
      </c>
      <c r="F34" s="10" t="s">
        <v>571</v>
      </c>
      <c r="G34" s="15">
        <v>438.14</v>
      </c>
    </row>
    <row r="35" spans="1:7" x14ac:dyDescent="0.25">
      <c r="A35" s="9" t="s">
        <v>562</v>
      </c>
      <c r="B35" s="10" t="s">
        <v>310</v>
      </c>
      <c r="C35" s="10" t="s">
        <v>652</v>
      </c>
      <c r="D35" s="10" t="s">
        <v>653</v>
      </c>
      <c r="E35" s="10" t="s">
        <v>654</v>
      </c>
      <c r="F35" s="10" t="s">
        <v>571</v>
      </c>
      <c r="G35" s="15">
        <v>438.14</v>
      </c>
    </row>
    <row r="36" spans="1:7" x14ac:dyDescent="0.25">
      <c r="A36" s="9" t="s">
        <v>562</v>
      </c>
      <c r="B36" s="10" t="s">
        <v>336</v>
      </c>
      <c r="C36" s="10" t="s">
        <v>75</v>
      </c>
      <c r="D36" s="10" t="s">
        <v>655</v>
      </c>
      <c r="E36" s="10" t="s">
        <v>656</v>
      </c>
      <c r="F36" s="10" t="s">
        <v>571</v>
      </c>
      <c r="G36" s="15">
        <v>379.08</v>
      </c>
    </row>
    <row r="37" spans="1:7" x14ac:dyDescent="0.25">
      <c r="A37" s="9" t="s">
        <v>562</v>
      </c>
      <c r="B37" s="10" t="s">
        <v>430</v>
      </c>
      <c r="C37" s="10" t="s">
        <v>75</v>
      </c>
      <c r="D37" s="10" t="s">
        <v>657</v>
      </c>
      <c r="E37" s="10" t="s">
        <v>658</v>
      </c>
      <c r="F37" s="10" t="s">
        <v>571</v>
      </c>
      <c r="G37" s="15">
        <v>497.2</v>
      </c>
    </row>
    <row r="38" spans="1:7" x14ac:dyDescent="0.25">
      <c r="A38" s="9" t="s">
        <v>562</v>
      </c>
      <c r="B38" s="10" t="s">
        <v>478</v>
      </c>
      <c r="C38" s="10" t="s">
        <v>75</v>
      </c>
      <c r="D38" s="10" t="s">
        <v>659</v>
      </c>
      <c r="E38" s="10" t="s">
        <v>660</v>
      </c>
      <c r="F38" s="10" t="s">
        <v>571</v>
      </c>
      <c r="G38" s="15">
        <v>134.6</v>
      </c>
    </row>
    <row r="39" spans="1:7" x14ac:dyDescent="0.25">
      <c r="A39" s="9" t="s">
        <v>562</v>
      </c>
      <c r="B39" s="10" t="s">
        <v>478</v>
      </c>
      <c r="C39" s="10" t="s">
        <v>661</v>
      </c>
      <c r="D39" s="10" t="s">
        <v>662</v>
      </c>
      <c r="E39" s="10" t="s">
        <v>663</v>
      </c>
      <c r="F39" s="10" t="s">
        <v>567</v>
      </c>
      <c r="G39" s="15">
        <v>134.6</v>
      </c>
    </row>
    <row r="40" spans="1:7" x14ac:dyDescent="0.25">
      <c r="A40" s="9" t="s">
        <v>562</v>
      </c>
      <c r="B40" s="10" t="s">
        <v>480</v>
      </c>
      <c r="C40" s="10" t="s">
        <v>75</v>
      </c>
      <c r="D40" s="10" t="s">
        <v>664</v>
      </c>
      <c r="E40" s="10" t="s">
        <v>665</v>
      </c>
      <c r="F40" s="10" t="s">
        <v>571</v>
      </c>
      <c r="G40" s="15">
        <v>438.14</v>
      </c>
    </row>
    <row r="41" spans="1:7" x14ac:dyDescent="0.25">
      <c r="A41" s="9" t="s">
        <v>562</v>
      </c>
      <c r="B41" s="10" t="s">
        <v>480</v>
      </c>
      <c r="C41" s="10" t="s">
        <v>666</v>
      </c>
      <c r="D41" s="10" t="s">
        <v>667</v>
      </c>
      <c r="E41" s="10" t="s">
        <v>668</v>
      </c>
      <c r="F41" s="10" t="s">
        <v>567</v>
      </c>
      <c r="G41" s="15">
        <v>438.14</v>
      </c>
    </row>
    <row r="42" spans="1:7" x14ac:dyDescent="0.25">
      <c r="A42" s="9" t="s">
        <v>562</v>
      </c>
      <c r="B42" s="10" t="s">
        <v>480</v>
      </c>
      <c r="C42" s="10" t="s">
        <v>669</v>
      </c>
      <c r="D42" s="10" t="s">
        <v>670</v>
      </c>
      <c r="E42" s="10" t="s">
        <v>671</v>
      </c>
      <c r="F42" s="10" t="s">
        <v>571</v>
      </c>
      <c r="G42" s="15">
        <v>438.14</v>
      </c>
    </row>
    <row r="43" spans="1:7" x14ac:dyDescent="0.25">
      <c r="A43" s="9" t="s">
        <v>562</v>
      </c>
      <c r="B43" s="10" t="s">
        <v>496</v>
      </c>
      <c r="C43" s="10" t="s">
        <v>672</v>
      </c>
      <c r="D43" s="10" t="s">
        <v>673</v>
      </c>
      <c r="E43" s="10" t="s">
        <v>674</v>
      </c>
      <c r="F43" s="10" t="s">
        <v>571</v>
      </c>
      <c r="G43" s="15">
        <v>438.14</v>
      </c>
    </row>
    <row r="44" spans="1:7" x14ac:dyDescent="0.25">
      <c r="A44" s="9" t="s">
        <v>562</v>
      </c>
      <c r="B44" s="10" t="s">
        <v>496</v>
      </c>
      <c r="C44" s="10" t="s">
        <v>675</v>
      </c>
      <c r="D44" s="10" t="s">
        <v>676</v>
      </c>
      <c r="E44" s="10" t="s">
        <v>677</v>
      </c>
      <c r="F44" s="10" t="s">
        <v>567</v>
      </c>
      <c r="G44" s="15">
        <v>438.14</v>
      </c>
    </row>
    <row r="45" spans="1:7" x14ac:dyDescent="0.25">
      <c r="A45" s="9" t="s">
        <v>562</v>
      </c>
      <c r="B45" s="10" t="s">
        <v>498</v>
      </c>
      <c r="C45" s="10" t="s">
        <v>678</v>
      </c>
      <c r="D45" s="10" t="s">
        <v>679</v>
      </c>
      <c r="E45" s="10" t="s">
        <v>680</v>
      </c>
      <c r="F45" s="10" t="s">
        <v>571</v>
      </c>
      <c r="G45" s="15">
        <v>438.14</v>
      </c>
    </row>
    <row r="46" spans="1:7" x14ac:dyDescent="0.25">
      <c r="A46" s="9" t="s">
        <v>562</v>
      </c>
      <c r="B46" s="10" t="s">
        <v>506</v>
      </c>
      <c r="C46" s="10" t="s">
        <v>75</v>
      </c>
      <c r="D46" s="10" t="s">
        <v>681</v>
      </c>
      <c r="E46" s="10" t="s">
        <v>682</v>
      </c>
      <c r="F46" s="10" t="s">
        <v>571</v>
      </c>
      <c r="G46" s="15">
        <v>405.59</v>
      </c>
    </row>
    <row r="47" spans="1:7" x14ac:dyDescent="0.25">
      <c r="A47" s="9" t="s">
        <v>562</v>
      </c>
      <c r="B47" s="10" t="s">
        <v>508</v>
      </c>
      <c r="C47" s="10" t="s">
        <v>75</v>
      </c>
      <c r="D47" s="10" t="s">
        <v>683</v>
      </c>
      <c r="E47" s="10" t="s">
        <v>684</v>
      </c>
      <c r="F47" s="10" t="s">
        <v>571</v>
      </c>
      <c r="G47" s="15">
        <v>260.95999999999998</v>
      </c>
    </row>
    <row r="48" spans="1:7" x14ac:dyDescent="0.25">
      <c r="A48" s="9" t="s">
        <v>562</v>
      </c>
      <c r="B48" s="10" t="s">
        <v>508</v>
      </c>
      <c r="C48" s="10" t="s">
        <v>75</v>
      </c>
      <c r="D48" s="10" t="s">
        <v>685</v>
      </c>
      <c r="E48" s="10" t="s">
        <v>686</v>
      </c>
      <c r="F48" s="10" t="s">
        <v>571</v>
      </c>
      <c r="G48" s="15">
        <v>260.95999999999998</v>
      </c>
    </row>
    <row r="49" spans="1:7" x14ac:dyDescent="0.25">
      <c r="A49" s="9" t="s">
        <v>688</v>
      </c>
      <c r="B49" s="10" t="s">
        <v>90</v>
      </c>
      <c r="C49" s="10" t="s">
        <v>690</v>
      </c>
      <c r="D49" s="10" t="s">
        <v>691</v>
      </c>
      <c r="E49" s="10" t="s">
        <v>692</v>
      </c>
      <c r="F49" s="10" t="s">
        <v>648</v>
      </c>
      <c r="G49" s="15">
        <v>219.39</v>
      </c>
    </row>
    <row r="50" spans="1:7" x14ac:dyDescent="0.25">
      <c r="A50" s="9" t="s">
        <v>688</v>
      </c>
      <c r="B50" s="10" t="s">
        <v>94</v>
      </c>
      <c r="C50" s="10" t="s">
        <v>572</v>
      </c>
      <c r="D50" s="10" t="s">
        <v>573</v>
      </c>
      <c r="E50" s="10" t="s">
        <v>574</v>
      </c>
      <c r="F50" s="10" t="s">
        <v>567</v>
      </c>
      <c r="G50" s="15">
        <v>134.18</v>
      </c>
    </row>
    <row r="51" spans="1:7" x14ac:dyDescent="0.25">
      <c r="A51" s="9" t="s">
        <v>688</v>
      </c>
      <c r="B51" s="10" t="s">
        <v>94</v>
      </c>
      <c r="C51" s="10" t="s">
        <v>575</v>
      </c>
      <c r="D51" s="10" t="s">
        <v>576</v>
      </c>
      <c r="E51" s="10" t="s">
        <v>577</v>
      </c>
      <c r="F51" s="10" t="s">
        <v>571</v>
      </c>
      <c r="G51" s="15">
        <v>134.18</v>
      </c>
    </row>
    <row r="52" spans="1:7" x14ac:dyDescent="0.25">
      <c r="A52" s="9" t="s">
        <v>688</v>
      </c>
      <c r="B52" s="10" t="s">
        <v>96</v>
      </c>
      <c r="C52" s="10" t="s">
        <v>693</v>
      </c>
      <c r="D52" s="10" t="s">
        <v>694</v>
      </c>
      <c r="E52" s="10" t="s">
        <v>695</v>
      </c>
      <c r="F52" s="10" t="s">
        <v>567</v>
      </c>
      <c r="G52" s="15">
        <v>169.42</v>
      </c>
    </row>
    <row r="53" spans="1:7" x14ac:dyDescent="0.25">
      <c r="A53" s="9" t="s">
        <v>688</v>
      </c>
      <c r="B53" s="10" t="s">
        <v>100</v>
      </c>
      <c r="C53" s="10" t="s">
        <v>696</v>
      </c>
      <c r="D53" s="10" t="s">
        <v>697</v>
      </c>
      <c r="E53" s="10" t="s">
        <v>698</v>
      </c>
      <c r="F53" s="10" t="s">
        <v>567</v>
      </c>
      <c r="G53" s="15">
        <v>169.42</v>
      </c>
    </row>
    <row r="54" spans="1:7" x14ac:dyDescent="0.25">
      <c r="A54" s="9" t="s">
        <v>688</v>
      </c>
      <c r="B54" s="10" t="s">
        <v>102</v>
      </c>
      <c r="C54" s="10" t="s">
        <v>699</v>
      </c>
      <c r="D54" s="10" t="s">
        <v>700</v>
      </c>
      <c r="E54" s="10" t="s">
        <v>701</v>
      </c>
      <c r="F54" s="10" t="s">
        <v>567</v>
      </c>
      <c r="G54" s="15">
        <v>634.01</v>
      </c>
    </row>
    <row r="55" spans="1:7" x14ac:dyDescent="0.25">
      <c r="A55" s="9" t="s">
        <v>688</v>
      </c>
      <c r="B55" s="10" t="s">
        <v>114</v>
      </c>
      <c r="C55" s="10" t="s">
        <v>75</v>
      </c>
      <c r="D55" s="10" t="s">
        <v>702</v>
      </c>
      <c r="E55" s="10" t="s">
        <v>703</v>
      </c>
      <c r="F55" s="10" t="s">
        <v>571</v>
      </c>
      <c r="G55" s="15">
        <v>169.42</v>
      </c>
    </row>
    <row r="56" spans="1:7" x14ac:dyDescent="0.25">
      <c r="A56" s="9" t="s">
        <v>688</v>
      </c>
      <c r="B56" s="10" t="s">
        <v>114</v>
      </c>
      <c r="C56" s="10" t="s">
        <v>704</v>
      </c>
      <c r="D56" s="10" t="s">
        <v>705</v>
      </c>
      <c r="E56" s="10" t="s">
        <v>706</v>
      </c>
      <c r="F56" s="10" t="s">
        <v>567</v>
      </c>
      <c r="G56" s="15">
        <v>169.42</v>
      </c>
    </row>
    <row r="57" spans="1:7" x14ac:dyDescent="0.25">
      <c r="A57" s="9" t="s">
        <v>688</v>
      </c>
      <c r="B57" s="10" t="s">
        <v>118</v>
      </c>
      <c r="C57" s="10" t="s">
        <v>707</v>
      </c>
      <c r="D57" s="10" t="s">
        <v>708</v>
      </c>
      <c r="E57" s="10" t="s">
        <v>709</v>
      </c>
      <c r="F57" s="10" t="s">
        <v>567</v>
      </c>
      <c r="G57" s="15">
        <v>169.42</v>
      </c>
    </row>
    <row r="58" spans="1:7" x14ac:dyDescent="0.25">
      <c r="A58" s="9" t="s">
        <v>688</v>
      </c>
      <c r="B58" s="10" t="s">
        <v>122</v>
      </c>
      <c r="C58" s="10" t="s">
        <v>75</v>
      </c>
      <c r="D58" s="10" t="s">
        <v>710</v>
      </c>
      <c r="E58" s="10" t="s">
        <v>711</v>
      </c>
      <c r="F58" s="10" t="s">
        <v>571</v>
      </c>
      <c r="G58" s="15">
        <v>169.42</v>
      </c>
    </row>
    <row r="59" spans="1:7" x14ac:dyDescent="0.25">
      <c r="A59" s="9" t="s">
        <v>688</v>
      </c>
      <c r="B59" s="10" t="s">
        <v>122</v>
      </c>
      <c r="C59" s="10" t="s">
        <v>712</v>
      </c>
      <c r="D59" s="10" t="s">
        <v>713</v>
      </c>
      <c r="E59" s="10" t="s">
        <v>714</v>
      </c>
      <c r="F59" s="10" t="s">
        <v>567</v>
      </c>
      <c r="G59" s="15">
        <v>169.42</v>
      </c>
    </row>
    <row r="60" spans="1:7" x14ac:dyDescent="0.25">
      <c r="A60" s="9" t="s">
        <v>688</v>
      </c>
      <c r="B60" s="10" t="s">
        <v>126</v>
      </c>
      <c r="C60" s="10" t="s">
        <v>75</v>
      </c>
      <c r="D60" s="10" t="s">
        <v>715</v>
      </c>
      <c r="E60" s="10" t="s">
        <v>716</v>
      </c>
      <c r="F60" s="10" t="s">
        <v>571</v>
      </c>
      <c r="G60" s="15">
        <v>40.83</v>
      </c>
    </row>
    <row r="61" spans="1:7" x14ac:dyDescent="0.25">
      <c r="A61" s="9" t="s">
        <v>688</v>
      </c>
      <c r="B61" s="10" t="s">
        <v>126</v>
      </c>
      <c r="C61" s="10" t="s">
        <v>717</v>
      </c>
      <c r="D61" s="10" t="s">
        <v>718</v>
      </c>
      <c r="E61" s="10" t="s">
        <v>719</v>
      </c>
      <c r="F61" s="10" t="s">
        <v>567</v>
      </c>
      <c r="G61" s="15">
        <v>40.83</v>
      </c>
    </row>
    <row r="62" spans="1:7" x14ac:dyDescent="0.25">
      <c r="A62" s="9" t="s">
        <v>688</v>
      </c>
      <c r="B62" s="10" t="s">
        <v>132</v>
      </c>
      <c r="C62" s="10" t="s">
        <v>75</v>
      </c>
      <c r="D62" s="10" t="s">
        <v>720</v>
      </c>
      <c r="E62" s="10" t="s">
        <v>721</v>
      </c>
      <c r="F62" s="10" t="s">
        <v>571</v>
      </c>
      <c r="G62" s="15">
        <v>169.42</v>
      </c>
    </row>
    <row r="63" spans="1:7" x14ac:dyDescent="0.25">
      <c r="A63" s="9" t="s">
        <v>688</v>
      </c>
      <c r="B63" s="10" t="s">
        <v>132</v>
      </c>
      <c r="C63" s="10" t="s">
        <v>722</v>
      </c>
      <c r="D63" s="10" t="s">
        <v>723</v>
      </c>
      <c r="E63" s="10" t="s">
        <v>724</v>
      </c>
      <c r="F63" s="10" t="s">
        <v>567</v>
      </c>
      <c r="G63" s="15">
        <v>169.42</v>
      </c>
    </row>
    <row r="64" spans="1:7" x14ac:dyDescent="0.25">
      <c r="A64" s="9" t="s">
        <v>688</v>
      </c>
      <c r="B64" s="10" t="s">
        <v>144</v>
      </c>
      <c r="C64" s="10" t="s">
        <v>75</v>
      </c>
      <c r="D64" s="10" t="s">
        <v>725</v>
      </c>
      <c r="E64" s="10" t="s">
        <v>726</v>
      </c>
      <c r="F64" s="10" t="s">
        <v>571</v>
      </c>
      <c r="G64" s="15">
        <v>169.42</v>
      </c>
    </row>
    <row r="65" spans="1:7" x14ac:dyDescent="0.25">
      <c r="A65" s="9" t="s">
        <v>688</v>
      </c>
      <c r="B65" s="10" t="s">
        <v>144</v>
      </c>
      <c r="C65" s="10" t="s">
        <v>727</v>
      </c>
      <c r="D65" s="10" t="s">
        <v>728</v>
      </c>
      <c r="E65" s="10" t="s">
        <v>729</v>
      </c>
      <c r="F65" s="10" t="s">
        <v>567</v>
      </c>
      <c r="G65" s="15">
        <v>169.42</v>
      </c>
    </row>
    <row r="66" spans="1:7" x14ac:dyDescent="0.25">
      <c r="A66" s="9" t="s">
        <v>688</v>
      </c>
      <c r="B66" s="10" t="s">
        <v>152</v>
      </c>
      <c r="C66" s="10" t="s">
        <v>75</v>
      </c>
      <c r="D66" s="10" t="s">
        <v>730</v>
      </c>
      <c r="E66" s="10" t="s">
        <v>731</v>
      </c>
      <c r="F66" s="10" t="s">
        <v>571</v>
      </c>
      <c r="G66" s="15">
        <v>169.42</v>
      </c>
    </row>
    <row r="67" spans="1:7" x14ac:dyDescent="0.25">
      <c r="A67" s="9" t="s">
        <v>688</v>
      </c>
      <c r="B67" s="10" t="s">
        <v>154</v>
      </c>
      <c r="C67" s="10" t="s">
        <v>732</v>
      </c>
      <c r="D67" s="10" t="s">
        <v>733</v>
      </c>
      <c r="E67" s="10" t="s">
        <v>734</v>
      </c>
      <c r="F67" s="10" t="s">
        <v>567</v>
      </c>
      <c r="G67" s="15">
        <v>835.28</v>
      </c>
    </row>
    <row r="68" spans="1:7" x14ac:dyDescent="0.25">
      <c r="A68" s="9" t="s">
        <v>688</v>
      </c>
      <c r="B68" s="10" t="s">
        <v>160</v>
      </c>
      <c r="C68" s="10" t="s">
        <v>735</v>
      </c>
      <c r="D68" s="10" t="s">
        <v>736</v>
      </c>
      <c r="E68" s="10" t="s">
        <v>737</v>
      </c>
      <c r="F68" s="10" t="s">
        <v>567</v>
      </c>
      <c r="G68" s="15">
        <v>835.28</v>
      </c>
    </row>
    <row r="69" spans="1:7" x14ac:dyDescent="0.25">
      <c r="A69" s="9" t="s">
        <v>688</v>
      </c>
      <c r="B69" s="10" t="s">
        <v>160</v>
      </c>
      <c r="C69" s="10" t="s">
        <v>738</v>
      </c>
      <c r="D69" s="10" t="s">
        <v>739</v>
      </c>
      <c r="E69" s="10" t="s">
        <v>740</v>
      </c>
      <c r="F69" s="10" t="s">
        <v>571</v>
      </c>
      <c r="G69" s="15">
        <v>835.28</v>
      </c>
    </row>
    <row r="70" spans="1:7" x14ac:dyDescent="0.25">
      <c r="A70" s="9" t="s">
        <v>688</v>
      </c>
      <c r="B70" s="10" t="s">
        <v>162</v>
      </c>
      <c r="C70" s="10" t="s">
        <v>75</v>
      </c>
      <c r="D70" s="10" t="s">
        <v>741</v>
      </c>
      <c r="E70" s="10" t="s">
        <v>742</v>
      </c>
      <c r="F70" s="10" t="s">
        <v>571</v>
      </c>
      <c r="G70" s="15">
        <v>268.36</v>
      </c>
    </row>
    <row r="71" spans="1:7" x14ac:dyDescent="0.25">
      <c r="A71" s="9" t="s">
        <v>688</v>
      </c>
      <c r="B71" s="10" t="s">
        <v>162</v>
      </c>
      <c r="C71" s="10" t="s">
        <v>743</v>
      </c>
      <c r="D71" s="10" t="s">
        <v>744</v>
      </c>
      <c r="E71" s="10" t="s">
        <v>745</v>
      </c>
      <c r="F71" s="10" t="s">
        <v>567</v>
      </c>
      <c r="G71" s="15">
        <v>268.36</v>
      </c>
    </row>
    <row r="72" spans="1:7" x14ac:dyDescent="0.25">
      <c r="A72" s="9" t="s">
        <v>688</v>
      </c>
      <c r="B72" s="10" t="s">
        <v>164</v>
      </c>
      <c r="C72" s="10" t="s">
        <v>746</v>
      </c>
      <c r="D72" s="10" t="s">
        <v>747</v>
      </c>
      <c r="E72" s="10" t="s">
        <v>748</v>
      </c>
      <c r="F72" s="10" t="s">
        <v>567</v>
      </c>
      <c r="G72" s="15">
        <v>219.39</v>
      </c>
    </row>
    <row r="73" spans="1:7" x14ac:dyDescent="0.25">
      <c r="A73" s="9" t="s">
        <v>688</v>
      </c>
      <c r="B73" s="10" t="s">
        <v>164</v>
      </c>
      <c r="C73" s="10" t="s">
        <v>164</v>
      </c>
      <c r="D73" s="10" t="s">
        <v>749</v>
      </c>
      <c r="E73" s="10" t="s">
        <v>750</v>
      </c>
      <c r="F73" s="10" t="s">
        <v>571</v>
      </c>
      <c r="G73" s="15">
        <v>219.39</v>
      </c>
    </row>
    <row r="74" spans="1:7" x14ac:dyDescent="0.25">
      <c r="A74" s="9" t="s">
        <v>688</v>
      </c>
      <c r="B74" s="10" t="s">
        <v>168</v>
      </c>
      <c r="C74" s="10" t="s">
        <v>75</v>
      </c>
      <c r="D74" s="10" t="s">
        <v>751</v>
      </c>
      <c r="E74" s="10" t="s">
        <v>752</v>
      </c>
      <c r="F74" s="10" t="s">
        <v>571</v>
      </c>
      <c r="G74" s="15">
        <v>169.42</v>
      </c>
    </row>
    <row r="75" spans="1:7" x14ac:dyDescent="0.25">
      <c r="A75" s="9" t="s">
        <v>688</v>
      </c>
      <c r="B75" s="10" t="s">
        <v>168</v>
      </c>
      <c r="C75" s="10" t="s">
        <v>75</v>
      </c>
      <c r="D75" s="10" t="s">
        <v>753</v>
      </c>
      <c r="E75" s="10" t="s">
        <v>754</v>
      </c>
      <c r="F75" s="10" t="s">
        <v>571</v>
      </c>
      <c r="G75" s="15">
        <v>169.42</v>
      </c>
    </row>
    <row r="76" spans="1:7" x14ac:dyDescent="0.25">
      <c r="A76" s="9" t="s">
        <v>688</v>
      </c>
      <c r="B76" s="10" t="s">
        <v>168</v>
      </c>
      <c r="C76" s="10" t="s">
        <v>755</v>
      </c>
      <c r="D76" s="10" t="s">
        <v>756</v>
      </c>
      <c r="E76" s="10" t="s">
        <v>757</v>
      </c>
      <c r="F76" s="10" t="s">
        <v>567</v>
      </c>
      <c r="G76" s="15">
        <v>169.42</v>
      </c>
    </row>
    <row r="77" spans="1:7" x14ac:dyDescent="0.25">
      <c r="A77" s="9" t="s">
        <v>688</v>
      </c>
      <c r="B77" s="10" t="s">
        <v>176</v>
      </c>
      <c r="C77" s="10" t="s">
        <v>75</v>
      </c>
      <c r="D77" s="10" t="s">
        <v>758</v>
      </c>
      <c r="E77" s="10" t="s">
        <v>759</v>
      </c>
      <c r="F77" s="10" t="s">
        <v>571</v>
      </c>
      <c r="G77" s="15">
        <v>169.42</v>
      </c>
    </row>
    <row r="78" spans="1:7" x14ac:dyDescent="0.25">
      <c r="A78" s="9" t="s">
        <v>688</v>
      </c>
      <c r="B78" s="10" t="s">
        <v>184</v>
      </c>
      <c r="C78" s="10" t="s">
        <v>760</v>
      </c>
      <c r="D78" s="10" t="s">
        <v>761</v>
      </c>
      <c r="E78" s="10" t="s">
        <v>762</v>
      </c>
      <c r="F78" s="10" t="s">
        <v>567</v>
      </c>
      <c r="G78" s="15">
        <v>146.26</v>
      </c>
    </row>
    <row r="79" spans="1:7" x14ac:dyDescent="0.25">
      <c r="A79" s="9" t="s">
        <v>688</v>
      </c>
      <c r="B79" s="10" t="s">
        <v>186</v>
      </c>
      <c r="C79" s="10" t="s">
        <v>763</v>
      </c>
      <c r="D79" s="10" t="s">
        <v>764</v>
      </c>
      <c r="E79" s="10" t="s">
        <v>765</v>
      </c>
      <c r="F79" s="10" t="s">
        <v>567</v>
      </c>
      <c r="G79" s="15">
        <v>835.28</v>
      </c>
    </row>
    <row r="80" spans="1:7" x14ac:dyDescent="0.25">
      <c r="A80" s="9" t="s">
        <v>688</v>
      </c>
      <c r="B80" s="10" t="s">
        <v>188</v>
      </c>
      <c r="C80" s="10" t="s">
        <v>75</v>
      </c>
      <c r="D80" s="10" t="s">
        <v>766</v>
      </c>
      <c r="E80" s="10" t="s">
        <v>767</v>
      </c>
      <c r="F80" s="10" t="s">
        <v>571</v>
      </c>
      <c r="G80" s="15">
        <v>835.28</v>
      </c>
    </row>
    <row r="81" spans="1:7" x14ac:dyDescent="0.25">
      <c r="A81" s="9" t="s">
        <v>688</v>
      </c>
      <c r="B81" s="10" t="s">
        <v>188</v>
      </c>
      <c r="C81" s="10" t="s">
        <v>75</v>
      </c>
      <c r="D81" s="10" t="s">
        <v>768</v>
      </c>
      <c r="E81" s="10" t="s">
        <v>769</v>
      </c>
      <c r="F81" s="10" t="s">
        <v>571</v>
      </c>
      <c r="G81" s="15">
        <v>835.28</v>
      </c>
    </row>
    <row r="82" spans="1:7" x14ac:dyDescent="0.25">
      <c r="A82" s="9" t="s">
        <v>688</v>
      </c>
      <c r="B82" s="10" t="s">
        <v>188</v>
      </c>
      <c r="C82" s="10" t="s">
        <v>770</v>
      </c>
      <c r="D82" s="10" t="s">
        <v>771</v>
      </c>
      <c r="E82" s="10" t="s">
        <v>772</v>
      </c>
      <c r="F82" s="10" t="s">
        <v>567</v>
      </c>
      <c r="G82" s="15">
        <v>835.28</v>
      </c>
    </row>
    <row r="83" spans="1:7" x14ac:dyDescent="0.25">
      <c r="A83" s="9" t="s">
        <v>688</v>
      </c>
      <c r="B83" s="10" t="s">
        <v>192</v>
      </c>
      <c r="C83" s="10" t="s">
        <v>773</v>
      </c>
      <c r="D83" s="10" t="s">
        <v>774</v>
      </c>
      <c r="E83" s="10" t="s">
        <v>775</v>
      </c>
      <c r="F83" s="10" t="s">
        <v>567</v>
      </c>
      <c r="G83" s="15">
        <v>169.42</v>
      </c>
    </row>
    <row r="84" spans="1:7" x14ac:dyDescent="0.25">
      <c r="A84" s="9" t="s">
        <v>688</v>
      </c>
      <c r="B84" s="10" t="s">
        <v>200</v>
      </c>
      <c r="C84" s="10" t="s">
        <v>776</v>
      </c>
      <c r="D84" s="10" t="s">
        <v>702</v>
      </c>
      <c r="E84" s="10" t="s">
        <v>777</v>
      </c>
      <c r="F84" s="10" t="s">
        <v>571</v>
      </c>
      <c r="G84" s="15">
        <v>169.42</v>
      </c>
    </row>
    <row r="85" spans="1:7" x14ac:dyDescent="0.25">
      <c r="A85" s="9" t="s">
        <v>688</v>
      </c>
      <c r="B85" s="10" t="s">
        <v>216</v>
      </c>
      <c r="C85" s="10" t="s">
        <v>778</v>
      </c>
      <c r="D85" s="10" t="s">
        <v>779</v>
      </c>
      <c r="E85" s="10" t="s">
        <v>780</v>
      </c>
      <c r="F85" s="10" t="s">
        <v>567</v>
      </c>
      <c r="G85" s="15">
        <v>1699.33</v>
      </c>
    </row>
    <row r="86" spans="1:7" x14ac:dyDescent="0.25">
      <c r="A86" s="9" t="s">
        <v>688</v>
      </c>
      <c r="B86" s="10" t="s">
        <v>216</v>
      </c>
      <c r="C86" s="10" t="s">
        <v>781</v>
      </c>
      <c r="D86" s="10" t="s">
        <v>782</v>
      </c>
      <c r="E86" s="10" t="s">
        <v>783</v>
      </c>
      <c r="F86" s="10" t="s">
        <v>571</v>
      </c>
      <c r="G86" s="15">
        <v>1699.33</v>
      </c>
    </row>
    <row r="87" spans="1:7" x14ac:dyDescent="0.25">
      <c r="A87" s="9" t="s">
        <v>688</v>
      </c>
      <c r="B87" s="10" t="s">
        <v>216</v>
      </c>
      <c r="C87" s="10" t="s">
        <v>784</v>
      </c>
      <c r="D87" s="10" t="s">
        <v>785</v>
      </c>
      <c r="E87" s="10" t="s">
        <v>786</v>
      </c>
      <c r="F87" s="10" t="s">
        <v>571</v>
      </c>
      <c r="G87" s="15">
        <v>1699.33</v>
      </c>
    </row>
    <row r="88" spans="1:7" x14ac:dyDescent="0.25">
      <c r="A88" s="9" t="s">
        <v>688</v>
      </c>
      <c r="B88" s="10" t="s">
        <v>232</v>
      </c>
      <c r="C88" s="10" t="s">
        <v>787</v>
      </c>
      <c r="D88" s="10" t="s">
        <v>788</v>
      </c>
      <c r="E88" s="10" t="s">
        <v>789</v>
      </c>
      <c r="F88" s="10" t="s">
        <v>567</v>
      </c>
      <c r="G88" s="15">
        <v>169.42</v>
      </c>
    </row>
    <row r="89" spans="1:7" x14ac:dyDescent="0.25">
      <c r="A89" s="9" t="s">
        <v>688</v>
      </c>
      <c r="B89" s="10" t="s">
        <v>238</v>
      </c>
      <c r="C89" s="10" t="s">
        <v>75</v>
      </c>
      <c r="D89" s="10" t="s">
        <v>790</v>
      </c>
      <c r="E89" s="10" t="s">
        <v>791</v>
      </c>
      <c r="F89" s="10" t="s">
        <v>571</v>
      </c>
      <c r="G89" s="15">
        <v>835.28</v>
      </c>
    </row>
    <row r="90" spans="1:7" x14ac:dyDescent="0.25">
      <c r="A90" s="9" t="s">
        <v>688</v>
      </c>
      <c r="B90" s="10" t="s">
        <v>238</v>
      </c>
      <c r="C90" s="10" t="s">
        <v>792</v>
      </c>
      <c r="D90" s="10" t="s">
        <v>793</v>
      </c>
      <c r="E90" s="10" t="s">
        <v>794</v>
      </c>
      <c r="F90" s="10" t="s">
        <v>567</v>
      </c>
      <c r="G90" s="15">
        <v>835.28</v>
      </c>
    </row>
    <row r="91" spans="1:7" x14ac:dyDescent="0.25">
      <c r="A91" s="9" t="s">
        <v>688</v>
      </c>
      <c r="B91" s="10" t="s">
        <v>240</v>
      </c>
      <c r="C91" s="10" t="s">
        <v>75</v>
      </c>
      <c r="D91" s="10" t="s">
        <v>795</v>
      </c>
      <c r="E91" s="10" t="s">
        <v>796</v>
      </c>
      <c r="F91" s="10" t="s">
        <v>571</v>
      </c>
      <c r="G91" s="15">
        <v>499.83</v>
      </c>
    </row>
    <row r="92" spans="1:7" x14ac:dyDescent="0.25">
      <c r="A92" s="9" t="s">
        <v>688</v>
      </c>
      <c r="B92" s="10" t="s">
        <v>242</v>
      </c>
      <c r="C92" s="10" t="s">
        <v>797</v>
      </c>
      <c r="D92" s="10" t="s">
        <v>798</v>
      </c>
      <c r="E92" s="10" t="s">
        <v>799</v>
      </c>
      <c r="F92" s="10" t="s">
        <v>567</v>
      </c>
      <c r="G92" s="15">
        <v>835.28</v>
      </c>
    </row>
    <row r="93" spans="1:7" x14ac:dyDescent="0.25">
      <c r="A93" s="9" t="s">
        <v>688</v>
      </c>
      <c r="B93" s="10" t="s">
        <v>242</v>
      </c>
      <c r="C93" s="10" t="s">
        <v>800</v>
      </c>
      <c r="D93" s="10" t="s">
        <v>801</v>
      </c>
      <c r="E93" s="10" t="s">
        <v>802</v>
      </c>
      <c r="F93" s="10" t="s">
        <v>571</v>
      </c>
      <c r="G93" s="15">
        <v>835.28</v>
      </c>
    </row>
    <row r="94" spans="1:7" x14ac:dyDescent="0.25">
      <c r="A94" s="9" t="s">
        <v>688</v>
      </c>
      <c r="B94" s="10" t="s">
        <v>246</v>
      </c>
      <c r="C94" s="10" t="s">
        <v>803</v>
      </c>
      <c r="D94" s="10" t="s">
        <v>804</v>
      </c>
      <c r="E94" s="10" t="s">
        <v>805</v>
      </c>
      <c r="F94" s="10" t="s">
        <v>567</v>
      </c>
      <c r="G94" s="15">
        <v>835.28</v>
      </c>
    </row>
    <row r="95" spans="1:7" x14ac:dyDescent="0.25">
      <c r="A95" s="9" t="s">
        <v>688</v>
      </c>
      <c r="B95" s="10" t="s">
        <v>250</v>
      </c>
      <c r="C95" s="10" t="s">
        <v>75</v>
      </c>
      <c r="D95" s="10" t="s">
        <v>806</v>
      </c>
      <c r="E95" s="10" t="s">
        <v>807</v>
      </c>
      <c r="F95" s="10" t="s">
        <v>571</v>
      </c>
      <c r="G95" s="15">
        <v>1062.23</v>
      </c>
    </row>
    <row r="96" spans="1:7" x14ac:dyDescent="0.25">
      <c r="A96" s="9" t="s">
        <v>688</v>
      </c>
      <c r="B96" s="10" t="s">
        <v>250</v>
      </c>
      <c r="C96" s="10" t="s">
        <v>808</v>
      </c>
      <c r="D96" s="10" t="s">
        <v>809</v>
      </c>
      <c r="E96" s="10" t="s">
        <v>810</v>
      </c>
      <c r="F96" s="10" t="s">
        <v>567</v>
      </c>
      <c r="G96" s="15">
        <v>1062.23</v>
      </c>
    </row>
    <row r="97" spans="1:7" x14ac:dyDescent="0.25">
      <c r="A97" s="9" t="s">
        <v>688</v>
      </c>
      <c r="B97" s="10" t="s">
        <v>254</v>
      </c>
      <c r="C97" s="10" t="s">
        <v>75</v>
      </c>
      <c r="D97" s="10" t="s">
        <v>811</v>
      </c>
      <c r="E97" s="10" t="s">
        <v>812</v>
      </c>
      <c r="F97" s="10" t="s">
        <v>571</v>
      </c>
      <c r="G97" s="15">
        <v>694.74</v>
      </c>
    </row>
    <row r="98" spans="1:7" x14ac:dyDescent="0.25">
      <c r="A98" s="9" t="s">
        <v>688</v>
      </c>
      <c r="B98" s="10" t="s">
        <v>254</v>
      </c>
      <c r="C98" s="10" t="s">
        <v>75</v>
      </c>
      <c r="D98" s="10" t="s">
        <v>813</v>
      </c>
      <c r="E98" s="10" t="s">
        <v>814</v>
      </c>
      <c r="F98" s="10" t="s">
        <v>571</v>
      </c>
      <c r="G98" s="15">
        <v>694.74</v>
      </c>
    </row>
    <row r="99" spans="1:7" x14ac:dyDescent="0.25">
      <c r="A99" s="9" t="s">
        <v>688</v>
      </c>
      <c r="B99" s="10" t="s">
        <v>254</v>
      </c>
      <c r="C99" s="10" t="s">
        <v>815</v>
      </c>
      <c r="D99" s="10" t="s">
        <v>816</v>
      </c>
      <c r="E99" s="10" t="s">
        <v>817</v>
      </c>
      <c r="F99" s="10" t="s">
        <v>567</v>
      </c>
      <c r="G99" s="15">
        <v>694.74</v>
      </c>
    </row>
    <row r="100" spans="1:7" x14ac:dyDescent="0.25">
      <c r="A100" s="9" t="s">
        <v>688</v>
      </c>
      <c r="B100" s="10" t="s">
        <v>256</v>
      </c>
      <c r="C100" s="10" t="s">
        <v>75</v>
      </c>
      <c r="D100" s="10" t="s">
        <v>818</v>
      </c>
      <c r="E100" s="10" t="s">
        <v>819</v>
      </c>
      <c r="F100" s="10" t="s">
        <v>571</v>
      </c>
      <c r="G100" s="15">
        <v>1699.33</v>
      </c>
    </row>
    <row r="101" spans="1:7" x14ac:dyDescent="0.25">
      <c r="A101" s="9" t="s">
        <v>688</v>
      </c>
      <c r="B101" s="10" t="s">
        <v>256</v>
      </c>
      <c r="C101" s="10" t="s">
        <v>75</v>
      </c>
      <c r="D101" s="10" t="s">
        <v>818</v>
      </c>
      <c r="E101" s="10" t="s">
        <v>820</v>
      </c>
      <c r="F101" s="10" t="s">
        <v>571</v>
      </c>
      <c r="G101" s="15">
        <v>1699.33</v>
      </c>
    </row>
    <row r="102" spans="1:7" x14ac:dyDescent="0.25">
      <c r="A102" s="9" t="s">
        <v>688</v>
      </c>
      <c r="B102" s="10" t="s">
        <v>256</v>
      </c>
      <c r="C102" s="10" t="s">
        <v>821</v>
      </c>
      <c r="D102" s="10" t="s">
        <v>822</v>
      </c>
      <c r="E102" s="10" t="s">
        <v>823</v>
      </c>
      <c r="F102" s="10" t="s">
        <v>567</v>
      </c>
      <c r="G102" s="15">
        <v>1699.33</v>
      </c>
    </row>
    <row r="103" spans="1:7" x14ac:dyDescent="0.25">
      <c r="A103" s="9" t="s">
        <v>688</v>
      </c>
      <c r="B103" s="10" t="s">
        <v>258</v>
      </c>
      <c r="C103" s="10" t="s">
        <v>75</v>
      </c>
      <c r="D103" s="10" t="s">
        <v>824</v>
      </c>
      <c r="E103" s="10" t="s">
        <v>825</v>
      </c>
      <c r="F103" s="10" t="s">
        <v>571</v>
      </c>
      <c r="G103" s="15">
        <v>73.13</v>
      </c>
    </row>
    <row r="104" spans="1:7" x14ac:dyDescent="0.25">
      <c r="A104" s="9" t="s">
        <v>688</v>
      </c>
      <c r="B104" s="10" t="s">
        <v>258</v>
      </c>
      <c r="C104" s="10" t="s">
        <v>75</v>
      </c>
      <c r="D104" s="10" t="s">
        <v>826</v>
      </c>
      <c r="E104" s="10" t="s">
        <v>827</v>
      </c>
      <c r="F104" s="10" t="s">
        <v>571</v>
      </c>
      <c r="G104" s="15">
        <v>73.13</v>
      </c>
    </row>
    <row r="105" spans="1:7" x14ac:dyDescent="0.25">
      <c r="A105" s="9" t="s">
        <v>688</v>
      </c>
      <c r="B105" s="10" t="s">
        <v>258</v>
      </c>
      <c r="C105" s="10" t="s">
        <v>75</v>
      </c>
      <c r="D105" s="10" t="s">
        <v>828</v>
      </c>
      <c r="E105" s="10" t="s">
        <v>829</v>
      </c>
      <c r="F105" s="10" t="s">
        <v>571</v>
      </c>
      <c r="G105" s="15">
        <v>73.13</v>
      </c>
    </row>
    <row r="106" spans="1:7" x14ac:dyDescent="0.25">
      <c r="A106" s="9" t="s">
        <v>688</v>
      </c>
      <c r="B106" s="10" t="s">
        <v>260</v>
      </c>
      <c r="C106" s="10" t="s">
        <v>75</v>
      </c>
      <c r="D106" s="10" t="s">
        <v>830</v>
      </c>
      <c r="E106" s="10" t="s">
        <v>831</v>
      </c>
      <c r="F106" s="10" t="s">
        <v>571</v>
      </c>
      <c r="G106" s="15">
        <v>146.26</v>
      </c>
    </row>
    <row r="107" spans="1:7" x14ac:dyDescent="0.25">
      <c r="A107" s="9" t="s">
        <v>688</v>
      </c>
      <c r="B107" s="10" t="s">
        <v>260</v>
      </c>
      <c r="C107" s="10" t="s">
        <v>75</v>
      </c>
      <c r="D107" s="10" t="s">
        <v>832</v>
      </c>
      <c r="E107" s="10" t="s">
        <v>833</v>
      </c>
      <c r="F107" s="10" t="s">
        <v>571</v>
      </c>
      <c r="G107" s="15">
        <v>146.26</v>
      </c>
    </row>
    <row r="108" spans="1:7" x14ac:dyDescent="0.25">
      <c r="A108" s="9" t="s">
        <v>688</v>
      </c>
      <c r="B108" s="10" t="s">
        <v>262</v>
      </c>
      <c r="C108" s="10" t="s">
        <v>75</v>
      </c>
      <c r="D108" s="10" t="s">
        <v>834</v>
      </c>
      <c r="E108" s="10" t="s">
        <v>835</v>
      </c>
      <c r="F108" s="10" t="s">
        <v>571</v>
      </c>
      <c r="G108" s="15">
        <v>1699.33</v>
      </c>
    </row>
    <row r="109" spans="1:7" x14ac:dyDescent="0.25">
      <c r="A109" s="9" t="s">
        <v>688</v>
      </c>
      <c r="B109" s="10" t="s">
        <v>262</v>
      </c>
      <c r="C109" s="10" t="s">
        <v>75</v>
      </c>
      <c r="D109" s="10" t="s">
        <v>836</v>
      </c>
      <c r="E109" s="10" t="s">
        <v>837</v>
      </c>
      <c r="F109" s="10" t="s">
        <v>571</v>
      </c>
      <c r="G109" s="15">
        <v>1699.33</v>
      </c>
    </row>
    <row r="110" spans="1:7" x14ac:dyDescent="0.25">
      <c r="A110" s="9" t="s">
        <v>688</v>
      </c>
      <c r="B110" s="10" t="s">
        <v>262</v>
      </c>
      <c r="C110" s="10" t="s">
        <v>838</v>
      </c>
      <c r="D110" s="10" t="s">
        <v>839</v>
      </c>
      <c r="E110" s="10" t="s">
        <v>840</v>
      </c>
      <c r="F110" s="10" t="s">
        <v>567</v>
      </c>
      <c r="G110" s="15">
        <v>1699.33</v>
      </c>
    </row>
    <row r="111" spans="1:7" x14ac:dyDescent="0.25">
      <c r="A111" s="9" t="s">
        <v>688</v>
      </c>
      <c r="B111" s="10" t="s">
        <v>264</v>
      </c>
      <c r="C111" s="10" t="s">
        <v>841</v>
      </c>
      <c r="D111" s="10" t="s">
        <v>842</v>
      </c>
      <c r="E111" s="10" t="s">
        <v>843</v>
      </c>
      <c r="F111" s="10" t="s">
        <v>567</v>
      </c>
      <c r="G111" s="15">
        <v>835.28</v>
      </c>
    </row>
    <row r="112" spans="1:7" x14ac:dyDescent="0.25">
      <c r="A112" s="9" t="s">
        <v>688</v>
      </c>
      <c r="B112" s="10" t="s">
        <v>264</v>
      </c>
      <c r="C112" s="10" t="s">
        <v>844</v>
      </c>
      <c r="D112" s="10" t="s">
        <v>845</v>
      </c>
      <c r="E112" s="10" t="s">
        <v>846</v>
      </c>
      <c r="F112" s="10" t="s">
        <v>571</v>
      </c>
      <c r="G112" s="15">
        <v>835.28</v>
      </c>
    </row>
    <row r="113" spans="1:7" x14ac:dyDescent="0.25">
      <c r="A113" s="9" t="s">
        <v>688</v>
      </c>
      <c r="B113" s="10" t="s">
        <v>266</v>
      </c>
      <c r="C113" s="10" t="s">
        <v>75</v>
      </c>
      <c r="D113" s="10" t="s">
        <v>847</v>
      </c>
      <c r="E113" s="10" t="s">
        <v>848</v>
      </c>
      <c r="F113" s="10" t="s">
        <v>571</v>
      </c>
      <c r="G113" s="15">
        <v>1699.33</v>
      </c>
    </row>
    <row r="114" spans="1:7" x14ac:dyDescent="0.25">
      <c r="A114" s="9" t="s">
        <v>688</v>
      </c>
      <c r="B114" s="10" t="s">
        <v>270</v>
      </c>
      <c r="C114" s="10" t="s">
        <v>849</v>
      </c>
      <c r="D114" s="10" t="s">
        <v>850</v>
      </c>
      <c r="E114" s="10" t="s">
        <v>851</v>
      </c>
      <c r="F114" s="10" t="s">
        <v>567</v>
      </c>
      <c r="G114" s="15">
        <v>835.28</v>
      </c>
    </row>
    <row r="115" spans="1:7" x14ac:dyDescent="0.25">
      <c r="A115" s="9" t="s">
        <v>688</v>
      </c>
      <c r="B115" s="10" t="s">
        <v>272</v>
      </c>
      <c r="C115" s="10" t="s">
        <v>852</v>
      </c>
      <c r="D115" s="10" t="s">
        <v>853</v>
      </c>
      <c r="E115" s="10" t="s">
        <v>854</v>
      </c>
      <c r="F115" s="10" t="s">
        <v>567</v>
      </c>
      <c r="G115" s="15">
        <v>268.36</v>
      </c>
    </row>
    <row r="116" spans="1:7" x14ac:dyDescent="0.25">
      <c r="A116" s="9" t="s">
        <v>688</v>
      </c>
      <c r="B116" s="10" t="s">
        <v>274</v>
      </c>
      <c r="C116" s="10" t="s">
        <v>855</v>
      </c>
      <c r="D116" s="10" t="s">
        <v>856</v>
      </c>
      <c r="E116" s="10" t="s">
        <v>857</v>
      </c>
      <c r="F116" s="10" t="s">
        <v>567</v>
      </c>
      <c r="G116" s="15">
        <v>134.18</v>
      </c>
    </row>
    <row r="117" spans="1:7" x14ac:dyDescent="0.25">
      <c r="A117" s="9" t="s">
        <v>688</v>
      </c>
      <c r="B117" s="10" t="s">
        <v>274</v>
      </c>
      <c r="C117" s="10" t="s">
        <v>858</v>
      </c>
      <c r="D117" s="10" t="s">
        <v>859</v>
      </c>
      <c r="E117" s="10" t="s">
        <v>860</v>
      </c>
      <c r="F117" s="10" t="s">
        <v>571</v>
      </c>
      <c r="G117" s="15">
        <v>134.18</v>
      </c>
    </row>
    <row r="118" spans="1:7" x14ac:dyDescent="0.25">
      <c r="A118" s="9" t="s">
        <v>688</v>
      </c>
      <c r="B118" s="10" t="s">
        <v>274</v>
      </c>
      <c r="C118" s="10" t="s">
        <v>861</v>
      </c>
      <c r="D118" s="10" t="s">
        <v>862</v>
      </c>
      <c r="E118" s="10" t="s">
        <v>863</v>
      </c>
      <c r="F118" s="10" t="s">
        <v>571</v>
      </c>
      <c r="G118" s="15">
        <v>134.18</v>
      </c>
    </row>
    <row r="119" spans="1:7" x14ac:dyDescent="0.25">
      <c r="A119" s="9" t="s">
        <v>688</v>
      </c>
      <c r="B119" s="10" t="s">
        <v>276</v>
      </c>
      <c r="C119" s="10" t="s">
        <v>75</v>
      </c>
      <c r="D119" s="10" t="s">
        <v>864</v>
      </c>
      <c r="E119" s="10" t="s">
        <v>865</v>
      </c>
      <c r="F119" s="10" t="s">
        <v>571</v>
      </c>
      <c r="G119" s="15">
        <v>768.19</v>
      </c>
    </row>
    <row r="120" spans="1:7" x14ac:dyDescent="0.25">
      <c r="A120" s="9" t="s">
        <v>688</v>
      </c>
      <c r="B120" s="10" t="s">
        <v>276</v>
      </c>
      <c r="C120" s="10" t="s">
        <v>866</v>
      </c>
      <c r="D120" s="10" t="s">
        <v>867</v>
      </c>
      <c r="E120" s="10" t="s">
        <v>868</v>
      </c>
      <c r="F120" s="10" t="s">
        <v>567</v>
      </c>
      <c r="G120" s="15">
        <v>768.19</v>
      </c>
    </row>
    <row r="121" spans="1:7" x14ac:dyDescent="0.25">
      <c r="A121" s="9" t="s">
        <v>688</v>
      </c>
      <c r="B121" s="10" t="s">
        <v>278</v>
      </c>
      <c r="C121" s="10" t="s">
        <v>75</v>
      </c>
      <c r="D121" s="10" t="s">
        <v>869</v>
      </c>
      <c r="E121" s="10" t="s">
        <v>870</v>
      </c>
      <c r="F121" s="10" t="s">
        <v>571</v>
      </c>
      <c r="G121" s="15">
        <v>835.28</v>
      </c>
    </row>
    <row r="122" spans="1:7" x14ac:dyDescent="0.25">
      <c r="A122" s="9" t="s">
        <v>688</v>
      </c>
      <c r="B122" s="10" t="s">
        <v>278</v>
      </c>
      <c r="C122" s="10" t="s">
        <v>871</v>
      </c>
      <c r="D122" s="10" t="s">
        <v>872</v>
      </c>
      <c r="E122" s="10" t="s">
        <v>873</v>
      </c>
      <c r="F122" s="10" t="s">
        <v>567</v>
      </c>
      <c r="G122" s="15">
        <v>835.28</v>
      </c>
    </row>
    <row r="123" spans="1:7" x14ac:dyDescent="0.25">
      <c r="A123" s="9" t="s">
        <v>688</v>
      </c>
      <c r="B123" s="10" t="s">
        <v>280</v>
      </c>
      <c r="C123" s="10" t="s">
        <v>75</v>
      </c>
      <c r="D123" s="10" t="s">
        <v>782</v>
      </c>
      <c r="E123" s="10" t="s">
        <v>874</v>
      </c>
      <c r="F123" s="10" t="s">
        <v>571</v>
      </c>
      <c r="G123" s="15">
        <v>835.28</v>
      </c>
    </row>
    <row r="124" spans="1:7" x14ac:dyDescent="0.25">
      <c r="A124" s="9" t="s">
        <v>688</v>
      </c>
      <c r="B124" s="10" t="s">
        <v>280</v>
      </c>
      <c r="C124" s="10" t="s">
        <v>875</v>
      </c>
      <c r="D124" s="10" t="s">
        <v>876</v>
      </c>
      <c r="E124" s="10" t="s">
        <v>877</v>
      </c>
      <c r="F124" s="10" t="s">
        <v>567</v>
      </c>
      <c r="G124" s="15">
        <v>835.28</v>
      </c>
    </row>
    <row r="125" spans="1:7" x14ac:dyDescent="0.25">
      <c r="A125" s="9" t="s">
        <v>688</v>
      </c>
      <c r="B125" s="10" t="s">
        <v>286</v>
      </c>
      <c r="C125" s="10" t="s">
        <v>878</v>
      </c>
      <c r="D125" s="10" t="s">
        <v>879</v>
      </c>
      <c r="E125" s="10" t="s">
        <v>880</v>
      </c>
      <c r="F125" s="10" t="s">
        <v>567</v>
      </c>
      <c r="G125" s="15">
        <v>1699.33</v>
      </c>
    </row>
    <row r="126" spans="1:7" x14ac:dyDescent="0.25">
      <c r="A126" s="9" t="s">
        <v>688</v>
      </c>
      <c r="B126" s="10" t="s">
        <v>290</v>
      </c>
      <c r="C126" s="10" t="s">
        <v>75</v>
      </c>
      <c r="D126" s="10" t="s">
        <v>881</v>
      </c>
      <c r="E126" s="10" t="s">
        <v>882</v>
      </c>
      <c r="F126" s="10" t="s">
        <v>571</v>
      </c>
      <c r="G126" s="15">
        <v>219.39</v>
      </c>
    </row>
    <row r="127" spans="1:7" x14ac:dyDescent="0.25">
      <c r="A127" s="9" t="s">
        <v>688</v>
      </c>
      <c r="B127" s="10" t="s">
        <v>290</v>
      </c>
      <c r="C127" s="10" t="s">
        <v>883</v>
      </c>
      <c r="D127" s="10" t="s">
        <v>884</v>
      </c>
      <c r="E127" s="10" t="s">
        <v>885</v>
      </c>
      <c r="F127" s="10" t="s">
        <v>567</v>
      </c>
      <c r="G127" s="15">
        <v>835.28</v>
      </c>
    </row>
    <row r="128" spans="1:7" x14ac:dyDescent="0.25">
      <c r="A128" s="9" t="s">
        <v>688</v>
      </c>
      <c r="B128" s="10" t="s">
        <v>292</v>
      </c>
      <c r="C128" s="10" t="s">
        <v>75</v>
      </c>
      <c r="D128" s="10" t="s">
        <v>886</v>
      </c>
      <c r="E128" s="10" t="s">
        <v>887</v>
      </c>
      <c r="F128" s="10" t="s">
        <v>571</v>
      </c>
      <c r="G128" s="15">
        <v>499.83</v>
      </c>
    </row>
    <row r="129" spans="1:7" x14ac:dyDescent="0.25">
      <c r="A129" s="9" t="s">
        <v>688</v>
      </c>
      <c r="B129" s="10" t="s">
        <v>292</v>
      </c>
      <c r="C129" s="10" t="s">
        <v>75</v>
      </c>
      <c r="D129" s="10" t="s">
        <v>888</v>
      </c>
      <c r="E129" s="10" t="s">
        <v>889</v>
      </c>
      <c r="F129" s="10" t="s">
        <v>571</v>
      </c>
      <c r="G129" s="15">
        <v>499.83</v>
      </c>
    </row>
    <row r="130" spans="1:7" x14ac:dyDescent="0.25">
      <c r="A130" s="9" t="s">
        <v>688</v>
      </c>
      <c r="B130" s="10" t="s">
        <v>292</v>
      </c>
      <c r="C130" s="10" t="s">
        <v>75</v>
      </c>
      <c r="D130" s="10" t="s">
        <v>890</v>
      </c>
      <c r="E130" s="10" t="s">
        <v>891</v>
      </c>
      <c r="F130" s="10" t="s">
        <v>571</v>
      </c>
      <c r="G130" s="15">
        <v>499.83</v>
      </c>
    </row>
    <row r="131" spans="1:7" x14ac:dyDescent="0.25">
      <c r="A131" s="9" t="s">
        <v>688</v>
      </c>
      <c r="B131" s="10" t="s">
        <v>294</v>
      </c>
      <c r="C131" s="10" t="s">
        <v>892</v>
      </c>
      <c r="D131" s="10" t="s">
        <v>893</v>
      </c>
      <c r="E131" s="10" t="s">
        <v>894</v>
      </c>
      <c r="F131" s="10" t="s">
        <v>567</v>
      </c>
      <c r="G131" s="15">
        <v>835.28</v>
      </c>
    </row>
    <row r="132" spans="1:7" x14ac:dyDescent="0.25">
      <c r="A132" s="9" t="s">
        <v>688</v>
      </c>
      <c r="B132" s="10" t="s">
        <v>312</v>
      </c>
      <c r="C132" s="10" t="s">
        <v>75</v>
      </c>
      <c r="D132" s="10" t="s">
        <v>895</v>
      </c>
      <c r="E132" s="10" t="s">
        <v>896</v>
      </c>
      <c r="F132" s="10" t="s">
        <v>571</v>
      </c>
      <c r="G132" s="15">
        <v>634.01</v>
      </c>
    </row>
    <row r="133" spans="1:7" x14ac:dyDescent="0.25">
      <c r="A133" s="9" t="s">
        <v>688</v>
      </c>
      <c r="B133" s="10" t="s">
        <v>312</v>
      </c>
      <c r="C133" s="10" t="s">
        <v>897</v>
      </c>
      <c r="D133" s="10" t="s">
        <v>898</v>
      </c>
      <c r="E133" s="10" t="s">
        <v>899</v>
      </c>
      <c r="F133" s="10" t="s">
        <v>567</v>
      </c>
      <c r="G133" s="15">
        <v>835.28</v>
      </c>
    </row>
    <row r="134" spans="1:7" x14ac:dyDescent="0.25">
      <c r="A134" s="9" t="s">
        <v>688</v>
      </c>
      <c r="B134" s="10" t="s">
        <v>312</v>
      </c>
      <c r="C134" s="10" t="s">
        <v>900</v>
      </c>
      <c r="D134" s="10" t="s">
        <v>901</v>
      </c>
      <c r="E134" s="10" t="s">
        <v>902</v>
      </c>
      <c r="F134" s="10" t="s">
        <v>571</v>
      </c>
      <c r="G134" s="15">
        <v>835.28</v>
      </c>
    </row>
    <row r="135" spans="1:7" x14ac:dyDescent="0.25">
      <c r="A135" s="9" t="s">
        <v>688</v>
      </c>
      <c r="B135" s="10" t="s">
        <v>312</v>
      </c>
      <c r="C135" s="10" t="s">
        <v>903</v>
      </c>
      <c r="D135" s="10" t="s">
        <v>904</v>
      </c>
      <c r="E135" s="10" t="s">
        <v>905</v>
      </c>
      <c r="F135" s="10" t="s">
        <v>571</v>
      </c>
      <c r="G135" s="15">
        <v>835.28</v>
      </c>
    </row>
    <row r="136" spans="1:7" x14ac:dyDescent="0.25">
      <c r="A136" s="9" t="s">
        <v>688</v>
      </c>
      <c r="B136" s="10" t="s">
        <v>320</v>
      </c>
      <c r="C136" s="10" t="s">
        <v>75</v>
      </c>
      <c r="D136" s="10" t="s">
        <v>906</v>
      </c>
      <c r="E136" s="10" t="s">
        <v>907</v>
      </c>
      <c r="F136" s="10" t="s">
        <v>571</v>
      </c>
      <c r="G136" s="15">
        <v>1699.33</v>
      </c>
    </row>
    <row r="137" spans="1:7" x14ac:dyDescent="0.25">
      <c r="A137" s="9" t="s">
        <v>688</v>
      </c>
      <c r="B137" s="10" t="s">
        <v>320</v>
      </c>
      <c r="C137" s="10" t="s">
        <v>908</v>
      </c>
      <c r="D137" s="10" t="s">
        <v>909</v>
      </c>
      <c r="E137" s="10" t="s">
        <v>910</v>
      </c>
      <c r="F137" s="10" t="s">
        <v>648</v>
      </c>
      <c r="G137" s="15">
        <v>1699.33</v>
      </c>
    </row>
    <row r="138" spans="1:7" x14ac:dyDescent="0.25">
      <c r="A138" s="9" t="s">
        <v>688</v>
      </c>
      <c r="B138" s="10" t="s">
        <v>322</v>
      </c>
      <c r="C138" s="10" t="s">
        <v>911</v>
      </c>
      <c r="D138" s="10" t="s">
        <v>912</v>
      </c>
      <c r="E138" s="10" t="s">
        <v>913</v>
      </c>
      <c r="F138" s="10" t="s">
        <v>567</v>
      </c>
      <c r="G138" s="15">
        <v>853.4</v>
      </c>
    </row>
    <row r="139" spans="1:7" x14ac:dyDescent="0.25">
      <c r="A139" s="9" t="s">
        <v>688</v>
      </c>
      <c r="B139" s="10" t="s">
        <v>324</v>
      </c>
      <c r="C139" s="10" t="s">
        <v>75</v>
      </c>
      <c r="D139" s="10" t="s">
        <v>914</v>
      </c>
      <c r="E139" s="10" t="s">
        <v>915</v>
      </c>
      <c r="F139" s="10" t="s">
        <v>571</v>
      </c>
      <c r="G139" s="15">
        <v>701.1</v>
      </c>
    </row>
    <row r="140" spans="1:7" x14ac:dyDescent="0.25">
      <c r="A140" s="9" t="s">
        <v>688</v>
      </c>
      <c r="B140" s="10" t="s">
        <v>326</v>
      </c>
      <c r="C140" s="10" t="s">
        <v>75</v>
      </c>
      <c r="D140" s="10" t="s">
        <v>916</v>
      </c>
      <c r="E140" s="10" t="s">
        <v>917</v>
      </c>
      <c r="F140" s="10" t="s">
        <v>571</v>
      </c>
      <c r="G140" s="15">
        <v>835.28</v>
      </c>
    </row>
    <row r="141" spans="1:7" x14ac:dyDescent="0.25">
      <c r="A141" s="9" t="s">
        <v>688</v>
      </c>
      <c r="B141" s="10" t="s">
        <v>326</v>
      </c>
      <c r="C141" s="10" t="s">
        <v>918</v>
      </c>
      <c r="D141" s="10" t="s">
        <v>919</v>
      </c>
      <c r="E141" s="10" t="s">
        <v>920</v>
      </c>
      <c r="F141" s="10" t="s">
        <v>567</v>
      </c>
      <c r="G141" s="15">
        <v>835.28</v>
      </c>
    </row>
    <row r="142" spans="1:7" x14ac:dyDescent="0.25">
      <c r="A142" s="9" t="s">
        <v>688</v>
      </c>
      <c r="B142" s="10" t="s">
        <v>332</v>
      </c>
      <c r="C142" s="10" t="s">
        <v>75</v>
      </c>
      <c r="D142" s="10" t="s">
        <v>921</v>
      </c>
      <c r="E142" s="10" t="s">
        <v>922</v>
      </c>
      <c r="F142" s="10" t="s">
        <v>571</v>
      </c>
      <c r="G142" s="15">
        <v>615.89</v>
      </c>
    </row>
    <row r="143" spans="1:7" x14ac:dyDescent="0.25">
      <c r="A143" s="9" t="s">
        <v>688</v>
      </c>
      <c r="B143" s="10" t="s">
        <v>332</v>
      </c>
      <c r="C143" s="10" t="s">
        <v>75</v>
      </c>
      <c r="D143" s="10" t="s">
        <v>923</v>
      </c>
      <c r="E143" s="10" t="s">
        <v>924</v>
      </c>
      <c r="F143" s="10" t="s">
        <v>571</v>
      </c>
      <c r="G143" s="15">
        <v>615.89</v>
      </c>
    </row>
    <row r="144" spans="1:7" x14ac:dyDescent="0.25">
      <c r="A144" s="9" t="s">
        <v>688</v>
      </c>
      <c r="B144" s="10" t="s">
        <v>332</v>
      </c>
      <c r="C144" s="10" t="s">
        <v>925</v>
      </c>
      <c r="D144" s="10" t="s">
        <v>926</v>
      </c>
      <c r="E144" s="10" t="s">
        <v>927</v>
      </c>
      <c r="F144" s="10" t="s">
        <v>567</v>
      </c>
      <c r="G144" s="15">
        <v>615.89</v>
      </c>
    </row>
    <row r="145" spans="1:7" x14ac:dyDescent="0.25">
      <c r="A145" s="9" t="s">
        <v>688</v>
      </c>
      <c r="B145" s="10" t="s">
        <v>338</v>
      </c>
      <c r="C145" s="10" t="s">
        <v>928</v>
      </c>
      <c r="D145" s="10" t="s">
        <v>929</v>
      </c>
      <c r="E145" s="10" t="s">
        <v>930</v>
      </c>
      <c r="F145" s="10" t="s">
        <v>567</v>
      </c>
      <c r="G145" s="15">
        <v>432.74</v>
      </c>
    </row>
    <row r="146" spans="1:7" x14ac:dyDescent="0.25">
      <c r="A146" s="9" t="s">
        <v>688</v>
      </c>
      <c r="B146" s="10" t="s">
        <v>340</v>
      </c>
      <c r="C146" s="10" t="s">
        <v>75</v>
      </c>
      <c r="D146" s="10" t="s">
        <v>931</v>
      </c>
      <c r="E146" s="10" t="s">
        <v>932</v>
      </c>
      <c r="F146" s="10" t="s">
        <v>571</v>
      </c>
      <c r="G146" s="15">
        <v>835.28</v>
      </c>
    </row>
    <row r="147" spans="1:7" x14ac:dyDescent="0.25">
      <c r="A147" s="9" t="s">
        <v>688</v>
      </c>
      <c r="B147" s="10" t="s">
        <v>340</v>
      </c>
      <c r="C147" s="10" t="s">
        <v>933</v>
      </c>
      <c r="D147" s="10" t="s">
        <v>934</v>
      </c>
      <c r="E147" s="10" t="s">
        <v>935</v>
      </c>
      <c r="F147" s="10" t="s">
        <v>567</v>
      </c>
      <c r="G147" s="15">
        <v>835.28</v>
      </c>
    </row>
    <row r="148" spans="1:7" x14ac:dyDescent="0.25">
      <c r="A148" s="9" t="s">
        <v>688</v>
      </c>
      <c r="B148" s="10" t="s">
        <v>346</v>
      </c>
      <c r="C148" s="10" t="s">
        <v>75</v>
      </c>
      <c r="D148" s="10" t="s">
        <v>936</v>
      </c>
      <c r="E148" s="10" t="s">
        <v>937</v>
      </c>
      <c r="F148" s="10" t="s">
        <v>571</v>
      </c>
      <c r="G148" s="15">
        <v>835.28</v>
      </c>
    </row>
    <row r="149" spans="1:7" x14ac:dyDescent="0.25">
      <c r="A149" s="9" t="s">
        <v>688</v>
      </c>
      <c r="B149" s="10" t="s">
        <v>346</v>
      </c>
      <c r="C149" s="10" t="s">
        <v>75</v>
      </c>
      <c r="D149" s="10" t="s">
        <v>938</v>
      </c>
      <c r="E149" s="10" t="s">
        <v>939</v>
      </c>
      <c r="F149" s="10" t="s">
        <v>571</v>
      </c>
      <c r="G149" s="15">
        <v>835.28</v>
      </c>
    </row>
    <row r="150" spans="1:7" x14ac:dyDescent="0.25">
      <c r="A150" s="9" t="s">
        <v>688</v>
      </c>
      <c r="B150" s="10" t="s">
        <v>348</v>
      </c>
      <c r="C150" s="10" t="s">
        <v>75</v>
      </c>
      <c r="D150" s="10" t="s">
        <v>940</v>
      </c>
      <c r="E150" s="10" t="s">
        <v>941</v>
      </c>
      <c r="F150" s="10" t="s">
        <v>571</v>
      </c>
      <c r="G150" s="15">
        <v>835.28</v>
      </c>
    </row>
    <row r="151" spans="1:7" x14ac:dyDescent="0.25">
      <c r="A151" s="9" t="s">
        <v>688</v>
      </c>
      <c r="B151" s="10" t="s">
        <v>348</v>
      </c>
      <c r="C151" s="10" t="s">
        <v>75</v>
      </c>
      <c r="D151" s="10" t="s">
        <v>942</v>
      </c>
      <c r="E151" s="10" t="s">
        <v>943</v>
      </c>
      <c r="F151" s="10" t="s">
        <v>571</v>
      </c>
      <c r="G151" s="15">
        <v>835.28</v>
      </c>
    </row>
    <row r="152" spans="1:7" x14ac:dyDescent="0.25">
      <c r="A152" s="9" t="s">
        <v>688</v>
      </c>
      <c r="B152" s="10" t="s">
        <v>348</v>
      </c>
      <c r="C152" s="10" t="s">
        <v>944</v>
      </c>
      <c r="D152" s="10" t="s">
        <v>945</v>
      </c>
      <c r="E152" s="10" t="s">
        <v>946</v>
      </c>
      <c r="F152" s="10" t="s">
        <v>567</v>
      </c>
      <c r="G152" s="15">
        <v>835.28</v>
      </c>
    </row>
    <row r="153" spans="1:7" x14ac:dyDescent="0.25">
      <c r="A153" s="9" t="s">
        <v>688</v>
      </c>
      <c r="B153" s="10" t="s">
        <v>352</v>
      </c>
      <c r="C153" s="10" t="s">
        <v>947</v>
      </c>
      <c r="D153" s="10" t="s">
        <v>948</v>
      </c>
      <c r="E153" s="10" t="s">
        <v>949</v>
      </c>
      <c r="F153" s="10" t="s">
        <v>567</v>
      </c>
      <c r="G153" s="15">
        <v>835.28</v>
      </c>
    </row>
    <row r="154" spans="1:7" x14ac:dyDescent="0.25">
      <c r="A154" s="9" t="s">
        <v>688</v>
      </c>
      <c r="B154" s="10" t="s">
        <v>354</v>
      </c>
      <c r="C154" s="10" t="s">
        <v>75</v>
      </c>
      <c r="D154" s="10" t="s">
        <v>950</v>
      </c>
      <c r="E154" s="10" t="s">
        <v>951</v>
      </c>
      <c r="F154" s="10" t="s">
        <v>571</v>
      </c>
      <c r="G154" s="15">
        <v>835.28</v>
      </c>
    </row>
    <row r="155" spans="1:7" x14ac:dyDescent="0.25">
      <c r="A155" s="9" t="s">
        <v>688</v>
      </c>
      <c r="B155" s="10" t="s">
        <v>354</v>
      </c>
      <c r="C155" s="10" t="s">
        <v>75</v>
      </c>
      <c r="D155" s="10" t="s">
        <v>952</v>
      </c>
      <c r="E155" s="10" t="s">
        <v>953</v>
      </c>
      <c r="F155" s="10" t="s">
        <v>571</v>
      </c>
      <c r="G155" s="15">
        <v>835.28</v>
      </c>
    </row>
    <row r="156" spans="1:7" x14ac:dyDescent="0.25">
      <c r="A156" s="9" t="s">
        <v>688</v>
      </c>
      <c r="B156" s="10" t="s">
        <v>354</v>
      </c>
      <c r="C156" s="10" t="s">
        <v>954</v>
      </c>
      <c r="D156" s="10" t="s">
        <v>955</v>
      </c>
      <c r="E156" s="10" t="s">
        <v>956</v>
      </c>
      <c r="F156" s="10" t="s">
        <v>567</v>
      </c>
      <c r="G156" s="15">
        <v>835.28</v>
      </c>
    </row>
    <row r="157" spans="1:7" x14ac:dyDescent="0.25">
      <c r="A157" s="9" t="s">
        <v>688</v>
      </c>
      <c r="B157" s="10" t="s">
        <v>356</v>
      </c>
      <c r="C157" s="10" t="s">
        <v>957</v>
      </c>
      <c r="D157" s="10" t="s">
        <v>958</v>
      </c>
      <c r="E157" s="10" t="s">
        <v>959</v>
      </c>
      <c r="F157" s="10" t="s">
        <v>571</v>
      </c>
      <c r="G157" s="15">
        <v>73.13</v>
      </c>
    </row>
    <row r="158" spans="1:7" x14ac:dyDescent="0.25">
      <c r="A158" s="9" t="s">
        <v>688</v>
      </c>
      <c r="B158" s="10" t="s">
        <v>358</v>
      </c>
      <c r="C158" s="10" t="s">
        <v>75</v>
      </c>
      <c r="D158" s="10" t="s">
        <v>960</v>
      </c>
      <c r="E158" s="10" t="s">
        <v>961</v>
      </c>
      <c r="F158" s="10" t="s">
        <v>571</v>
      </c>
      <c r="G158" s="15">
        <v>701.1</v>
      </c>
    </row>
    <row r="159" spans="1:7" x14ac:dyDescent="0.25">
      <c r="A159" s="9" t="s">
        <v>688</v>
      </c>
      <c r="B159" s="10" t="s">
        <v>366</v>
      </c>
      <c r="C159" s="10" t="s">
        <v>962</v>
      </c>
      <c r="D159" s="10" t="s">
        <v>963</v>
      </c>
      <c r="E159" s="10" t="s">
        <v>964</v>
      </c>
      <c r="F159" s="10" t="s">
        <v>567</v>
      </c>
      <c r="G159" s="15">
        <v>835.28</v>
      </c>
    </row>
    <row r="160" spans="1:7" x14ac:dyDescent="0.25">
      <c r="A160" s="9" t="s">
        <v>688</v>
      </c>
      <c r="B160" s="10" t="s">
        <v>378</v>
      </c>
      <c r="C160" s="10" t="s">
        <v>965</v>
      </c>
      <c r="D160" s="10" t="s">
        <v>966</v>
      </c>
      <c r="E160" s="10" t="s">
        <v>967</v>
      </c>
      <c r="F160" s="10" t="s">
        <v>567</v>
      </c>
      <c r="G160" s="15">
        <v>499.83</v>
      </c>
    </row>
    <row r="161" spans="1:7" x14ac:dyDescent="0.25">
      <c r="A161" s="9" t="s">
        <v>688</v>
      </c>
      <c r="B161" s="10" t="s">
        <v>390</v>
      </c>
      <c r="C161" s="10" t="s">
        <v>75</v>
      </c>
      <c r="D161" s="10" t="s">
        <v>968</v>
      </c>
      <c r="E161" s="10" t="s">
        <v>969</v>
      </c>
      <c r="F161" s="10" t="s">
        <v>571</v>
      </c>
      <c r="G161" s="15">
        <v>566.91999999999996</v>
      </c>
    </row>
    <row r="162" spans="1:7" x14ac:dyDescent="0.25">
      <c r="A162" s="9" t="s">
        <v>688</v>
      </c>
      <c r="B162" s="10" t="s">
        <v>392</v>
      </c>
      <c r="C162" s="10" t="s">
        <v>970</v>
      </c>
      <c r="D162" s="10" t="s">
        <v>971</v>
      </c>
      <c r="E162" s="10" t="s">
        <v>972</v>
      </c>
      <c r="F162" s="10" t="s">
        <v>648</v>
      </c>
      <c r="G162" s="15">
        <v>183.2</v>
      </c>
    </row>
    <row r="163" spans="1:7" x14ac:dyDescent="0.25">
      <c r="A163" s="9" t="s">
        <v>688</v>
      </c>
      <c r="B163" s="10" t="s">
        <v>440</v>
      </c>
      <c r="C163" s="10" t="s">
        <v>973</v>
      </c>
      <c r="D163" s="10" t="s">
        <v>974</v>
      </c>
      <c r="E163" s="10" t="s">
        <v>975</v>
      </c>
      <c r="F163" s="10" t="s">
        <v>567</v>
      </c>
      <c r="G163" s="15">
        <v>1699.33</v>
      </c>
    </row>
    <row r="164" spans="1:7" x14ac:dyDescent="0.25">
      <c r="A164" s="9" t="s">
        <v>688</v>
      </c>
      <c r="B164" s="10" t="s">
        <v>440</v>
      </c>
      <c r="C164" s="10" t="s">
        <v>976</v>
      </c>
      <c r="D164" s="10" t="s">
        <v>977</v>
      </c>
      <c r="E164" s="10" t="s">
        <v>978</v>
      </c>
      <c r="F164" s="10" t="s">
        <v>571</v>
      </c>
      <c r="G164" s="15">
        <v>1699.33</v>
      </c>
    </row>
    <row r="165" spans="1:7" x14ac:dyDescent="0.25">
      <c r="A165" s="9" t="s">
        <v>688</v>
      </c>
      <c r="B165" s="10" t="s">
        <v>440</v>
      </c>
      <c r="C165" s="10" t="s">
        <v>976</v>
      </c>
      <c r="D165" s="10" t="s">
        <v>979</v>
      </c>
      <c r="E165" s="10" t="s">
        <v>980</v>
      </c>
      <c r="F165" s="10" t="s">
        <v>571</v>
      </c>
      <c r="G165" s="15">
        <v>1699.33</v>
      </c>
    </row>
    <row r="166" spans="1:7" x14ac:dyDescent="0.25">
      <c r="A166" s="9" t="s">
        <v>688</v>
      </c>
      <c r="B166" s="10" t="s">
        <v>476</v>
      </c>
      <c r="C166" s="10" t="s">
        <v>75</v>
      </c>
      <c r="D166" s="10" t="s">
        <v>981</v>
      </c>
      <c r="E166" s="10" t="s">
        <v>982</v>
      </c>
      <c r="F166" s="10" t="s">
        <v>571</v>
      </c>
      <c r="G166" s="15">
        <v>73.13</v>
      </c>
    </row>
    <row r="167" spans="1:7" x14ac:dyDescent="0.25">
      <c r="A167" s="9" t="s">
        <v>688</v>
      </c>
      <c r="B167" s="10" t="s">
        <v>478</v>
      </c>
      <c r="C167" s="10" t="s">
        <v>75</v>
      </c>
      <c r="D167" s="10" t="s">
        <v>659</v>
      </c>
      <c r="E167" s="10" t="s">
        <v>660</v>
      </c>
      <c r="F167" s="10" t="s">
        <v>571</v>
      </c>
      <c r="G167" s="15">
        <v>487.75</v>
      </c>
    </row>
    <row r="168" spans="1:7" x14ac:dyDescent="0.25">
      <c r="A168" s="9" t="s">
        <v>688</v>
      </c>
      <c r="B168" s="10" t="s">
        <v>478</v>
      </c>
      <c r="C168" s="10" t="s">
        <v>661</v>
      </c>
      <c r="D168" s="10" t="s">
        <v>662</v>
      </c>
      <c r="E168" s="10" t="s">
        <v>663</v>
      </c>
      <c r="F168" s="10" t="s">
        <v>567</v>
      </c>
      <c r="G168" s="15">
        <v>487.75</v>
      </c>
    </row>
    <row r="169" spans="1:7" x14ac:dyDescent="0.25">
      <c r="A169" s="9" t="s">
        <v>688</v>
      </c>
      <c r="B169" s="10" t="s">
        <v>482</v>
      </c>
      <c r="C169" s="10" t="s">
        <v>983</v>
      </c>
      <c r="D169" s="10" t="s">
        <v>984</v>
      </c>
      <c r="E169" s="10" t="s">
        <v>985</v>
      </c>
      <c r="F169" s="10" t="s">
        <v>567</v>
      </c>
      <c r="G169" s="15">
        <v>762.15</v>
      </c>
    </row>
    <row r="170" spans="1:7" x14ac:dyDescent="0.25">
      <c r="A170" s="9" t="s">
        <v>688</v>
      </c>
      <c r="B170" s="10" t="s">
        <v>488</v>
      </c>
      <c r="C170" s="10" t="s">
        <v>75</v>
      </c>
      <c r="D170" s="10" t="s">
        <v>986</v>
      </c>
      <c r="E170" s="10" t="s">
        <v>987</v>
      </c>
      <c r="F170" s="10" t="s">
        <v>571</v>
      </c>
      <c r="G170" s="15">
        <v>201.27</v>
      </c>
    </row>
    <row r="171" spans="1:7" x14ac:dyDescent="0.25">
      <c r="A171" s="9" t="s">
        <v>688</v>
      </c>
      <c r="B171" s="10" t="s">
        <v>488</v>
      </c>
      <c r="C171" s="10" t="s">
        <v>75</v>
      </c>
      <c r="D171" s="10" t="s">
        <v>988</v>
      </c>
      <c r="E171" s="10" t="s">
        <v>989</v>
      </c>
      <c r="F171" s="10" t="s">
        <v>571</v>
      </c>
      <c r="G171" s="15">
        <v>201.27</v>
      </c>
    </row>
    <row r="172" spans="1:7" x14ac:dyDescent="0.25">
      <c r="A172" s="9" t="s">
        <v>688</v>
      </c>
      <c r="B172" s="10" t="s">
        <v>494</v>
      </c>
      <c r="C172" s="10" t="s">
        <v>990</v>
      </c>
      <c r="D172" s="10" t="s">
        <v>991</v>
      </c>
      <c r="E172" s="10" t="s">
        <v>992</v>
      </c>
      <c r="F172" s="10" t="s">
        <v>567</v>
      </c>
      <c r="G172" s="15">
        <v>169.42</v>
      </c>
    </row>
    <row r="173" spans="1:7" x14ac:dyDescent="0.25">
      <c r="A173" s="9" t="s">
        <v>688</v>
      </c>
      <c r="B173" s="10" t="s">
        <v>502</v>
      </c>
      <c r="C173" s="10" t="s">
        <v>993</v>
      </c>
      <c r="D173" s="10" t="s">
        <v>994</v>
      </c>
      <c r="E173" s="10" t="s">
        <v>995</v>
      </c>
      <c r="F173" s="10" t="s">
        <v>571</v>
      </c>
      <c r="G173" s="15">
        <v>201.27</v>
      </c>
    </row>
    <row r="174" spans="1:7" x14ac:dyDescent="0.25">
      <c r="A174" s="9" t="s">
        <v>688</v>
      </c>
      <c r="B174" s="10" t="s">
        <v>502</v>
      </c>
      <c r="C174" s="10" t="s">
        <v>996</v>
      </c>
      <c r="D174" s="10" t="s">
        <v>997</v>
      </c>
      <c r="E174" s="10" t="s">
        <v>998</v>
      </c>
      <c r="F174" s="10" t="s">
        <v>567</v>
      </c>
      <c r="G174" s="15">
        <v>201.27</v>
      </c>
    </row>
    <row r="175" spans="1:7" x14ac:dyDescent="0.25">
      <c r="A175" s="9" t="s">
        <v>688</v>
      </c>
      <c r="B175" s="10" t="s">
        <v>510</v>
      </c>
      <c r="C175" s="10" t="s">
        <v>999</v>
      </c>
      <c r="D175" s="10" t="s">
        <v>1000</v>
      </c>
      <c r="E175" s="10" t="s">
        <v>1001</v>
      </c>
      <c r="F175" s="10" t="s">
        <v>571</v>
      </c>
      <c r="G175" s="15">
        <v>134.18</v>
      </c>
    </row>
    <row r="176" spans="1:7" x14ac:dyDescent="0.25">
      <c r="A176" s="9" t="s">
        <v>688</v>
      </c>
      <c r="B176" s="10" t="s">
        <v>512</v>
      </c>
      <c r="C176" s="10" t="s">
        <v>1002</v>
      </c>
      <c r="D176" s="10" t="s">
        <v>1003</v>
      </c>
      <c r="E176" s="10" t="s">
        <v>1004</v>
      </c>
      <c r="F176" s="10" t="s">
        <v>571</v>
      </c>
      <c r="G176" s="15">
        <v>203.31</v>
      </c>
    </row>
    <row r="177" spans="1:7" x14ac:dyDescent="0.25">
      <c r="A177" s="9" t="s">
        <v>1006</v>
      </c>
      <c r="B177" s="10" t="s">
        <v>88</v>
      </c>
      <c r="C177" s="10" t="s">
        <v>564</v>
      </c>
      <c r="D177" s="10" t="s">
        <v>565</v>
      </c>
      <c r="E177" s="10" t="s">
        <v>566</v>
      </c>
      <c r="F177" s="10" t="s">
        <v>567</v>
      </c>
      <c r="G177" s="15">
        <v>189.02</v>
      </c>
    </row>
    <row r="178" spans="1:7" x14ac:dyDescent="0.25">
      <c r="A178" s="9" t="s">
        <v>1006</v>
      </c>
      <c r="B178" s="10" t="s">
        <v>88</v>
      </c>
      <c r="C178" s="10" t="s">
        <v>1008</v>
      </c>
      <c r="D178" s="10" t="s">
        <v>1009</v>
      </c>
      <c r="E178" s="10" t="s">
        <v>1010</v>
      </c>
      <c r="F178" s="10" t="s">
        <v>1011</v>
      </c>
      <c r="G178" s="15">
        <v>189.02</v>
      </c>
    </row>
    <row r="179" spans="1:7" x14ac:dyDescent="0.25">
      <c r="A179" s="9" t="s">
        <v>1006</v>
      </c>
      <c r="B179" s="10" t="s">
        <v>88</v>
      </c>
      <c r="C179" s="10" t="s">
        <v>568</v>
      </c>
      <c r="D179" s="10" t="s">
        <v>569</v>
      </c>
      <c r="E179" s="10" t="s">
        <v>570</v>
      </c>
      <c r="F179" s="10" t="s">
        <v>571</v>
      </c>
      <c r="G179" s="15">
        <v>189.02</v>
      </c>
    </row>
    <row r="180" spans="1:7" x14ac:dyDescent="0.25">
      <c r="A180" s="9" t="s">
        <v>1006</v>
      </c>
      <c r="B180" s="10" t="s">
        <v>114</v>
      </c>
      <c r="C180" s="10" t="s">
        <v>75</v>
      </c>
      <c r="D180" s="10" t="s">
        <v>702</v>
      </c>
      <c r="E180" s="10" t="s">
        <v>703</v>
      </c>
      <c r="F180" s="10" t="s">
        <v>571</v>
      </c>
      <c r="G180" s="15">
        <v>189.02</v>
      </c>
    </row>
    <row r="181" spans="1:7" x14ac:dyDescent="0.25">
      <c r="A181" s="9" t="s">
        <v>1006</v>
      </c>
      <c r="B181" s="10" t="s">
        <v>114</v>
      </c>
      <c r="C181" s="10" t="s">
        <v>704</v>
      </c>
      <c r="D181" s="10" t="s">
        <v>705</v>
      </c>
      <c r="E181" s="10" t="s">
        <v>706</v>
      </c>
      <c r="F181" s="10" t="s">
        <v>567</v>
      </c>
      <c r="G181" s="15">
        <v>189.02</v>
      </c>
    </row>
    <row r="182" spans="1:7" x14ac:dyDescent="0.25">
      <c r="A182" s="9" t="s">
        <v>1006</v>
      </c>
      <c r="B182" s="10" t="s">
        <v>132</v>
      </c>
      <c r="C182" s="10" t="s">
        <v>722</v>
      </c>
      <c r="D182" s="10" t="s">
        <v>723</v>
      </c>
      <c r="E182" s="10" t="s">
        <v>724</v>
      </c>
      <c r="F182" s="10" t="s">
        <v>567</v>
      </c>
      <c r="G182" s="15">
        <v>189.02</v>
      </c>
    </row>
    <row r="183" spans="1:7" x14ac:dyDescent="0.25">
      <c r="A183" s="9" t="s">
        <v>1006</v>
      </c>
      <c r="B183" s="10" t="s">
        <v>134</v>
      </c>
      <c r="C183" s="10" t="s">
        <v>75</v>
      </c>
      <c r="D183" s="10" t="s">
        <v>584</v>
      </c>
      <c r="E183" s="10" t="s">
        <v>585</v>
      </c>
      <c r="F183" s="10" t="s">
        <v>571</v>
      </c>
      <c r="G183" s="15">
        <v>33.82</v>
      </c>
    </row>
    <row r="184" spans="1:7" x14ac:dyDescent="0.25">
      <c r="A184" s="9" t="s">
        <v>1006</v>
      </c>
      <c r="B184" s="10" t="s">
        <v>134</v>
      </c>
      <c r="C184" s="10" t="s">
        <v>1012</v>
      </c>
      <c r="D184" s="10" t="s">
        <v>1013</v>
      </c>
      <c r="E184" s="10" t="s">
        <v>1014</v>
      </c>
      <c r="F184" s="10" t="s">
        <v>571</v>
      </c>
      <c r="G184" s="15">
        <v>33.82</v>
      </c>
    </row>
    <row r="185" spans="1:7" x14ac:dyDescent="0.25">
      <c r="A185" s="9" t="s">
        <v>1006</v>
      </c>
      <c r="B185" s="10" t="s">
        <v>134</v>
      </c>
      <c r="C185" s="10" t="s">
        <v>586</v>
      </c>
      <c r="D185" s="10" t="s">
        <v>587</v>
      </c>
      <c r="E185" s="10" t="s">
        <v>588</v>
      </c>
      <c r="F185" s="10" t="s">
        <v>567</v>
      </c>
      <c r="G185" s="15">
        <v>33.82</v>
      </c>
    </row>
    <row r="186" spans="1:7" x14ac:dyDescent="0.25">
      <c r="A186" s="9" t="s">
        <v>1006</v>
      </c>
      <c r="B186" s="10" t="s">
        <v>136</v>
      </c>
      <c r="C186" s="10" t="s">
        <v>75</v>
      </c>
      <c r="D186" s="10" t="s">
        <v>589</v>
      </c>
      <c r="E186" s="10" t="s">
        <v>590</v>
      </c>
      <c r="F186" s="10" t="s">
        <v>571</v>
      </c>
      <c r="G186" s="15">
        <v>33.82</v>
      </c>
    </row>
    <row r="187" spans="1:7" x14ac:dyDescent="0.25">
      <c r="A187" s="9" t="s">
        <v>1006</v>
      </c>
      <c r="B187" s="10" t="s">
        <v>142</v>
      </c>
      <c r="C187" s="10" t="s">
        <v>75</v>
      </c>
      <c r="D187" s="10" t="s">
        <v>599</v>
      </c>
      <c r="E187" s="10" t="s">
        <v>600</v>
      </c>
      <c r="F187" s="10" t="s">
        <v>571</v>
      </c>
      <c r="G187" s="15">
        <v>49.34</v>
      </c>
    </row>
    <row r="188" spans="1:7" x14ac:dyDescent="0.25">
      <c r="A188" s="9" t="s">
        <v>1006</v>
      </c>
      <c r="B188" s="10" t="s">
        <v>142</v>
      </c>
      <c r="C188" s="10" t="s">
        <v>75</v>
      </c>
      <c r="D188" s="10" t="s">
        <v>1015</v>
      </c>
      <c r="E188" s="10" t="s">
        <v>1016</v>
      </c>
      <c r="F188" s="10" t="s">
        <v>571</v>
      </c>
      <c r="G188" s="15">
        <v>49.34</v>
      </c>
    </row>
    <row r="189" spans="1:7" x14ac:dyDescent="0.25">
      <c r="A189" s="9" t="s">
        <v>1006</v>
      </c>
      <c r="B189" s="10" t="s">
        <v>142</v>
      </c>
      <c r="C189" s="10" t="s">
        <v>601</v>
      </c>
      <c r="D189" s="10" t="s">
        <v>602</v>
      </c>
      <c r="E189" s="10" t="s">
        <v>603</v>
      </c>
      <c r="F189" s="10" t="s">
        <v>567</v>
      </c>
      <c r="G189" s="15">
        <v>49.34</v>
      </c>
    </row>
    <row r="190" spans="1:7" x14ac:dyDescent="0.25">
      <c r="A190" s="9" t="s">
        <v>1006</v>
      </c>
      <c r="B190" s="10" t="s">
        <v>144</v>
      </c>
      <c r="C190" s="10" t="s">
        <v>75</v>
      </c>
      <c r="D190" s="10" t="s">
        <v>725</v>
      </c>
      <c r="E190" s="10" t="s">
        <v>726</v>
      </c>
      <c r="F190" s="10" t="s">
        <v>571</v>
      </c>
      <c r="G190" s="15">
        <v>787.28</v>
      </c>
    </row>
    <row r="191" spans="1:7" x14ac:dyDescent="0.25">
      <c r="A191" s="9" t="s">
        <v>1006</v>
      </c>
      <c r="B191" s="10" t="s">
        <v>144</v>
      </c>
      <c r="C191" s="10" t="s">
        <v>727</v>
      </c>
      <c r="D191" s="10" t="s">
        <v>728</v>
      </c>
      <c r="E191" s="10" t="s">
        <v>729</v>
      </c>
      <c r="F191" s="10" t="s">
        <v>567</v>
      </c>
      <c r="G191" s="15">
        <v>787.28</v>
      </c>
    </row>
    <row r="192" spans="1:7" x14ac:dyDescent="0.25">
      <c r="A192" s="9" t="s">
        <v>1006</v>
      </c>
      <c r="B192" s="10" t="s">
        <v>162</v>
      </c>
      <c r="C192" s="10" t="s">
        <v>743</v>
      </c>
      <c r="D192" s="10" t="s">
        <v>744</v>
      </c>
      <c r="E192" s="10" t="s">
        <v>745</v>
      </c>
      <c r="F192" s="10" t="s">
        <v>567</v>
      </c>
      <c r="G192" s="15">
        <v>62.08</v>
      </c>
    </row>
    <row r="193" spans="1:7" x14ac:dyDescent="0.25">
      <c r="A193" s="9" t="s">
        <v>1006</v>
      </c>
      <c r="B193" s="10" t="s">
        <v>164</v>
      </c>
      <c r="C193" s="10" t="s">
        <v>746</v>
      </c>
      <c r="D193" s="10" t="s">
        <v>747</v>
      </c>
      <c r="E193" s="10" t="s">
        <v>748</v>
      </c>
      <c r="F193" s="10" t="s">
        <v>567</v>
      </c>
      <c r="G193" s="15">
        <v>70.44</v>
      </c>
    </row>
    <row r="194" spans="1:7" x14ac:dyDescent="0.25">
      <c r="A194" s="9" t="s">
        <v>1006</v>
      </c>
      <c r="B194" s="10" t="s">
        <v>164</v>
      </c>
      <c r="C194" s="10" t="s">
        <v>164</v>
      </c>
      <c r="D194" s="10" t="s">
        <v>749</v>
      </c>
      <c r="E194" s="10" t="s">
        <v>750</v>
      </c>
      <c r="F194" s="10" t="s">
        <v>571</v>
      </c>
      <c r="G194" s="15">
        <v>70.44</v>
      </c>
    </row>
    <row r="195" spans="1:7" x14ac:dyDescent="0.25">
      <c r="A195" s="9" t="s">
        <v>1006</v>
      </c>
      <c r="B195" s="10" t="s">
        <v>174</v>
      </c>
      <c r="C195" s="10" t="s">
        <v>75</v>
      </c>
      <c r="D195" s="10" t="s">
        <v>604</v>
      </c>
      <c r="E195" s="10" t="s">
        <v>605</v>
      </c>
      <c r="F195" s="10" t="s">
        <v>571</v>
      </c>
      <c r="G195" s="15">
        <v>49.34</v>
      </c>
    </row>
    <row r="196" spans="1:7" x14ac:dyDescent="0.25">
      <c r="A196" s="9" t="s">
        <v>1006</v>
      </c>
      <c r="B196" s="10" t="s">
        <v>178</v>
      </c>
      <c r="C196" s="10" t="s">
        <v>606</v>
      </c>
      <c r="D196" s="10" t="s">
        <v>607</v>
      </c>
      <c r="E196" s="10" t="s">
        <v>608</v>
      </c>
      <c r="F196" s="10" t="s">
        <v>567</v>
      </c>
      <c r="G196" s="15">
        <v>80.38</v>
      </c>
    </row>
    <row r="197" spans="1:7" x14ac:dyDescent="0.25">
      <c r="A197" s="9" t="s">
        <v>1006</v>
      </c>
      <c r="B197" s="10" t="s">
        <v>188</v>
      </c>
      <c r="C197" s="10" t="s">
        <v>75</v>
      </c>
      <c r="D197" s="10" t="s">
        <v>766</v>
      </c>
      <c r="E197" s="10" t="s">
        <v>767</v>
      </c>
      <c r="F197" s="10" t="s">
        <v>571</v>
      </c>
      <c r="G197" s="15">
        <v>787.28</v>
      </c>
    </row>
    <row r="198" spans="1:7" x14ac:dyDescent="0.25">
      <c r="A198" s="9" t="s">
        <v>1006</v>
      </c>
      <c r="B198" s="10" t="s">
        <v>188</v>
      </c>
      <c r="C198" s="10" t="s">
        <v>75</v>
      </c>
      <c r="D198" s="10" t="s">
        <v>768</v>
      </c>
      <c r="E198" s="10" t="s">
        <v>769</v>
      </c>
      <c r="F198" s="10" t="s">
        <v>571</v>
      </c>
      <c r="G198" s="15">
        <v>787.28</v>
      </c>
    </row>
    <row r="199" spans="1:7" x14ac:dyDescent="0.25">
      <c r="A199" s="9" t="s">
        <v>1006</v>
      </c>
      <c r="B199" s="10" t="s">
        <v>188</v>
      </c>
      <c r="C199" s="10" t="s">
        <v>770</v>
      </c>
      <c r="D199" s="10" t="s">
        <v>771</v>
      </c>
      <c r="E199" s="10" t="s">
        <v>772</v>
      </c>
      <c r="F199" s="10" t="s">
        <v>567</v>
      </c>
      <c r="G199" s="15">
        <v>787.28</v>
      </c>
    </row>
    <row r="200" spans="1:7" x14ac:dyDescent="0.25">
      <c r="A200" s="9" t="s">
        <v>1006</v>
      </c>
      <c r="B200" s="10" t="s">
        <v>216</v>
      </c>
      <c r="C200" s="10" t="s">
        <v>778</v>
      </c>
      <c r="D200" s="10" t="s">
        <v>779</v>
      </c>
      <c r="E200" s="10" t="s">
        <v>780</v>
      </c>
      <c r="F200" s="10" t="s">
        <v>567</v>
      </c>
      <c r="G200" s="15">
        <v>787.28</v>
      </c>
    </row>
    <row r="201" spans="1:7" x14ac:dyDescent="0.25">
      <c r="A201" s="9" t="s">
        <v>1006</v>
      </c>
      <c r="B201" s="10" t="s">
        <v>216</v>
      </c>
      <c r="C201" s="10" t="s">
        <v>781</v>
      </c>
      <c r="D201" s="10" t="s">
        <v>782</v>
      </c>
      <c r="E201" s="10" t="s">
        <v>783</v>
      </c>
      <c r="F201" s="10" t="s">
        <v>571</v>
      </c>
      <c r="G201" s="15">
        <v>787.28</v>
      </c>
    </row>
    <row r="202" spans="1:7" x14ac:dyDescent="0.25">
      <c r="A202" s="9" t="s">
        <v>1006</v>
      </c>
      <c r="B202" s="10" t="s">
        <v>216</v>
      </c>
      <c r="C202" s="10" t="s">
        <v>784</v>
      </c>
      <c r="D202" s="10" t="s">
        <v>785</v>
      </c>
      <c r="E202" s="10" t="s">
        <v>786</v>
      </c>
      <c r="F202" s="10" t="s">
        <v>571</v>
      </c>
      <c r="G202" s="15">
        <v>787.28</v>
      </c>
    </row>
    <row r="203" spans="1:7" x14ac:dyDescent="0.25">
      <c r="A203" s="9" t="s">
        <v>1006</v>
      </c>
      <c r="B203" s="10" t="s">
        <v>232</v>
      </c>
      <c r="C203" s="10" t="s">
        <v>787</v>
      </c>
      <c r="D203" s="10" t="s">
        <v>788</v>
      </c>
      <c r="E203" s="10" t="s">
        <v>789</v>
      </c>
      <c r="F203" s="10" t="s">
        <v>567</v>
      </c>
      <c r="G203" s="15">
        <v>189.02</v>
      </c>
    </row>
    <row r="204" spans="1:7" x14ac:dyDescent="0.25">
      <c r="A204" s="9" t="s">
        <v>1006</v>
      </c>
      <c r="B204" s="10" t="s">
        <v>238</v>
      </c>
      <c r="C204" s="10" t="s">
        <v>75</v>
      </c>
      <c r="D204" s="10" t="s">
        <v>790</v>
      </c>
      <c r="E204" s="10" t="s">
        <v>791</v>
      </c>
      <c r="F204" s="10" t="s">
        <v>571</v>
      </c>
      <c r="G204" s="15">
        <v>189.02</v>
      </c>
    </row>
    <row r="205" spans="1:7" x14ac:dyDescent="0.25">
      <c r="A205" s="9" t="s">
        <v>1006</v>
      </c>
      <c r="B205" s="10" t="s">
        <v>238</v>
      </c>
      <c r="C205" s="10" t="s">
        <v>792</v>
      </c>
      <c r="D205" s="10" t="s">
        <v>793</v>
      </c>
      <c r="E205" s="10" t="s">
        <v>794</v>
      </c>
      <c r="F205" s="10" t="s">
        <v>567</v>
      </c>
      <c r="G205" s="15">
        <v>189.02</v>
      </c>
    </row>
    <row r="206" spans="1:7" x14ac:dyDescent="0.25">
      <c r="A206" s="9" t="s">
        <v>1006</v>
      </c>
      <c r="B206" s="10" t="s">
        <v>240</v>
      </c>
      <c r="C206" s="10" t="s">
        <v>75</v>
      </c>
      <c r="D206" s="10" t="s">
        <v>795</v>
      </c>
      <c r="E206" s="10" t="s">
        <v>796</v>
      </c>
      <c r="F206" s="10" t="s">
        <v>571</v>
      </c>
      <c r="G206" s="15">
        <v>95.9</v>
      </c>
    </row>
    <row r="207" spans="1:7" x14ac:dyDescent="0.25">
      <c r="A207" s="9" t="s">
        <v>1006</v>
      </c>
      <c r="B207" s="10" t="s">
        <v>274</v>
      </c>
      <c r="C207" s="10" t="s">
        <v>855</v>
      </c>
      <c r="D207" s="10" t="s">
        <v>856</v>
      </c>
      <c r="E207" s="10" t="s">
        <v>857</v>
      </c>
      <c r="F207" s="10" t="s">
        <v>567</v>
      </c>
      <c r="G207" s="15">
        <v>15.52</v>
      </c>
    </row>
    <row r="208" spans="1:7" x14ac:dyDescent="0.25">
      <c r="A208" s="9" t="s">
        <v>1006</v>
      </c>
      <c r="B208" s="10" t="s">
        <v>274</v>
      </c>
      <c r="C208" s="10" t="s">
        <v>858</v>
      </c>
      <c r="D208" s="10" t="s">
        <v>859</v>
      </c>
      <c r="E208" s="10" t="s">
        <v>860</v>
      </c>
      <c r="F208" s="10" t="s">
        <v>571</v>
      </c>
      <c r="G208" s="15">
        <v>15.52</v>
      </c>
    </row>
    <row r="209" spans="1:7" x14ac:dyDescent="0.25">
      <c r="A209" s="9" t="s">
        <v>1006</v>
      </c>
      <c r="B209" s="10" t="s">
        <v>274</v>
      </c>
      <c r="C209" s="10" t="s">
        <v>861</v>
      </c>
      <c r="D209" s="10" t="s">
        <v>862</v>
      </c>
      <c r="E209" s="10" t="s">
        <v>863</v>
      </c>
      <c r="F209" s="10" t="s">
        <v>571</v>
      </c>
      <c r="G209" s="15">
        <v>15.52</v>
      </c>
    </row>
    <row r="210" spans="1:7" x14ac:dyDescent="0.25">
      <c r="A210" s="9" t="s">
        <v>1006</v>
      </c>
      <c r="B210" s="10" t="s">
        <v>276</v>
      </c>
      <c r="C210" s="10" t="s">
        <v>75</v>
      </c>
      <c r="D210" s="10" t="s">
        <v>864</v>
      </c>
      <c r="E210" s="10" t="s">
        <v>865</v>
      </c>
      <c r="F210" s="10" t="s">
        <v>571</v>
      </c>
      <c r="G210" s="15">
        <v>157.97999999999999</v>
      </c>
    </row>
    <row r="211" spans="1:7" x14ac:dyDescent="0.25">
      <c r="A211" s="9" t="s">
        <v>1006</v>
      </c>
      <c r="B211" s="10" t="s">
        <v>276</v>
      </c>
      <c r="C211" s="10" t="s">
        <v>866</v>
      </c>
      <c r="D211" s="10" t="s">
        <v>867</v>
      </c>
      <c r="E211" s="10" t="s">
        <v>868</v>
      </c>
      <c r="F211" s="10" t="s">
        <v>567</v>
      </c>
      <c r="G211" s="15">
        <v>157.97999999999999</v>
      </c>
    </row>
    <row r="212" spans="1:7" x14ac:dyDescent="0.25">
      <c r="A212" s="9" t="s">
        <v>1006</v>
      </c>
      <c r="B212" s="10" t="s">
        <v>278</v>
      </c>
      <c r="C212" s="10" t="s">
        <v>75</v>
      </c>
      <c r="D212" s="10" t="s">
        <v>869</v>
      </c>
      <c r="E212" s="10" t="s">
        <v>870</v>
      </c>
      <c r="F212" s="10" t="s">
        <v>571</v>
      </c>
      <c r="G212" s="15">
        <v>189.02</v>
      </c>
    </row>
    <row r="213" spans="1:7" x14ac:dyDescent="0.25">
      <c r="A213" s="9" t="s">
        <v>1006</v>
      </c>
      <c r="B213" s="10" t="s">
        <v>278</v>
      </c>
      <c r="C213" s="10" t="s">
        <v>871</v>
      </c>
      <c r="D213" s="10" t="s">
        <v>872</v>
      </c>
      <c r="E213" s="10" t="s">
        <v>873</v>
      </c>
      <c r="F213" s="10" t="s">
        <v>567</v>
      </c>
      <c r="G213" s="15">
        <v>189.02</v>
      </c>
    </row>
    <row r="214" spans="1:7" x14ac:dyDescent="0.25">
      <c r="A214" s="9" t="s">
        <v>1006</v>
      </c>
      <c r="B214" s="10" t="s">
        <v>282</v>
      </c>
      <c r="C214" s="10" t="s">
        <v>75</v>
      </c>
      <c r="D214" s="10" t="s">
        <v>631</v>
      </c>
      <c r="E214" s="10" t="s">
        <v>632</v>
      </c>
      <c r="F214" s="10" t="s">
        <v>571</v>
      </c>
      <c r="G214" s="15">
        <v>111.42</v>
      </c>
    </row>
    <row r="215" spans="1:7" x14ac:dyDescent="0.25">
      <c r="A215" s="9" t="s">
        <v>1006</v>
      </c>
      <c r="B215" s="10" t="s">
        <v>282</v>
      </c>
      <c r="C215" s="10" t="s">
        <v>75</v>
      </c>
      <c r="D215" s="10" t="s">
        <v>633</v>
      </c>
      <c r="E215" s="10" t="s">
        <v>634</v>
      </c>
      <c r="F215" s="10" t="s">
        <v>571</v>
      </c>
      <c r="G215" s="15">
        <v>111.42</v>
      </c>
    </row>
    <row r="216" spans="1:7" x14ac:dyDescent="0.25">
      <c r="A216" s="9" t="s">
        <v>1006</v>
      </c>
      <c r="B216" s="10" t="s">
        <v>282</v>
      </c>
      <c r="C216" s="10" t="s">
        <v>635</v>
      </c>
      <c r="D216" s="10" t="s">
        <v>636</v>
      </c>
      <c r="E216" s="10" t="s">
        <v>637</v>
      </c>
      <c r="F216" s="10" t="s">
        <v>567</v>
      </c>
      <c r="G216" s="15">
        <v>111.42</v>
      </c>
    </row>
    <row r="217" spans="1:7" x14ac:dyDescent="0.25">
      <c r="A217" s="9" t="s">
        <v>1006</v>
      </c>
      <c r="B217" s="10" t="s">
        <v>292</v>
      </c>
      <c r="C217" s="10" t="s">
        <v>75</v>
      </c>
      <c r="D217" s="10" t="s">
        <v>886</v>
      </c>
      <c r="E217" s="10" t="s">
        <v>887</v>
      </c>
      <c r="F217" s="10" t="s">
        <v>571</v>
      </c>
      <c r="G217" s="15">
        <v>95.9</v>
      </c>
    </row>
    <row r="218" spans="1:7" x14ac:dyDescent="0.25">
      <c r="A218" s="9" t="s">
        <v>1006</v>
      </c>
      <c r="B218" s="10" t="s">
        <v>292</v>
      </c>
      <c r="C218" s="10" t="s">
        <v>75</v>
      </c>
      <c r="D218" s="10" t="s">
        <v>888</v>
      </c>
      <c r="E218" s="10" t="s">
        <v>889</v>
      </c>
      <c r="F218" s="10" t="s">
        <v>571</v>
      </c>
      <c r="G218" s="15">
        <v>95.9</v>
      </c>
    </row>
    <row r="219" spans="1:7" x14ac:dyDescent="0.25">
      <c r="A219" s="9" t="s">
        <v>1006</v>
      </c>
      <c r="B219" s="10" t="s">
        <v>292</v>
      </c>
      <c r="C219" s="10" t="s">
        <v>75</v>
      </c>
      <c r="D219" s="10" t="s">
        <v>890</v>
      </c>
      <c r="E219" s="10" t="s">
        <v>891</v>
      </c>
      <c r="F219" s="10" t="s">
        <v>571</v>
      </c>
      <c r="G219" s="15">
        <v>95.9</v>
      </c>
    </row>
    <row r="220" spans="1:7" x14ac:dyDescent="0.25">
      <c r="A220" s="9" t="s">
        <v>1006</v>
      </c>
      <c r="B220" s="10" t="s">
        <v>296</v>
      </c>
      <c r="C220" s="10" t="s">
        <v>1017</v>
      </c>
      <c r="D220" s="10" t="s">
        <v>1018</v>
      </c>
      <c r="E220" s="10" t="s">
        <v>1019</v>
      </c>
      <c r="F220" s="10" t="s">
        <v>567</v>
      </c>
      <c r="G220" s="15">
        <v>49.34</v>
      </c>
    </row>
    <row r="221" spans="1:7" x14ac:dyDescent="0.25">
      <c r="A221" s="9" t="s">
        <v>1006</v>
      </c>
      <c r="B221" s="10" t="s">
        <v>298</v>
      </c>
      <c r="C221" s="10" t="s">
        <v>75</v>
      </c>
      <c r="D221" s="10" t="s">
        <v>638</v>
      </c>
      <c r="E221" s="10" t="s">
        <v>639</v>
      </c>
      <c r="F221" s="10" t="s">
        <v>571</v>
      </c>
      <c r="G221" s="15">
        <v>189.02</v>
      </c>
    </row>
    <row r="222" spans="1:7" x14ac:dyDescent="0.25">
      <c r="A222" s="9" t="s">
        <v>1006</v>
      </c>
      <c r="B222" s="10" t="s">
        <v>298</v>
      </c>
      <c r="C222" s="10" t="s">
        <v>642</v>
      </c>
      <c r="D222" s="10" t="s">
        <v>643</v>
      </c>
      <c r="E222" s="10" t="s">
        <v>644</v>
      </c>
      <c r="F222" s="10" t="s">
        <v>567</v>
      </c>
      <c r="G222" s="15">
        <v>189.02</v>
      </c>
    </row>
    <row r="223" spans="1:7" x14ac:dyDescent="0.25">
      <c r="A223" s="9" t="s">
        <v>1006</v>
      </c>
      <c r="B223" s="10" t="s">
        <v>310</v>
      </c>
      <c r="C223" s="10" t="s">
        <v>645</v>
      </c>
      <c r="D223" s="10" t="s">
        <v>646</v>
      </c>
      <c r="E223" s="10" t="s">
        <v>647</v>
      </c>
      <c r="F223" s="10" t="s">
        <v>648</v>
      </c>
      <c r="G223" s="15">
        <v>95.9</v>
      </c>
    </row>
    <row r="224" spans="1:7" x14ac:dyDescent="0.25">
      <c r="A224" s="9" t="s">
        <v>1006</v>
      </c>
      <c r="B224" s="10" t="s">
        <v>310</v>
      </c>
      <c r="C224" s="10" t="s">
        <v>649</v>
      </c>
      <c r="D224" s="10" t="s">
        <v>650</v>
      </c>
      <c r="E224" s="10" t="s">
        <v>651</v>
      </c>
      <c r="F224" s="10" t="s">
        <v>571</v>
      </c>
      <c r="G224" s="15">
        <v>95.9</v>
      </c>
    </row>
    <row r="225" spans="1:7" x14ac:dyDescent="0.25">
      <c r="A225" s="9" t="s">
        <v>1006</v>
      </c>
      <c r="B225" s="10" t="s">
        <v>310</v>
      </c>
      <c r="C225" s="10" t="s">
        <v>652</v>
      </c>
      <c r="D225" s="10" t="s">
        <v>653</v>
      </c>
      <c r="E225" s="10" t="s">
        <v>654</v>
      </c>
      <c r="F225" s="10" t="s">
        <v>571</v>
      </c>
      <c r="G225" s="15">
        <v>95.9</v>
      </c>
    </row>
    <row r="226" spans="1:7" x14ac:dyDescent="0.25">
      <c r="A226" s="9" t="s">
        <v>1006</v>
      </c>
      <c r="B226" s="10" t="s">
        <v>324</v>
      </c>
      <c r="C226" s="10" t="s">
        <v>75</v>
      </c>
      <c r="D226" s="10" t="s">
        <v>914</v>
      </c>
      <c r="E226" s="10" t="s">
        <v>915</v>
      </c>
      <c r="F226" s="10" t="s">
        <v>571</v>
      </c>
      <c r="G226" s="15">
        <v>142.46</v>
      </c>
    </row>
    <row r="227" spans="1:7" x14ac:dyDescent="0.25">
      <c r="A227" s="9" t="s">
        <v>1006</v>
      </c>
      <c r="B227" s="10" t="s">
        <v>336</v>
      </c>
      <c r="C227" s="10" t="s">
        <v>75</v>
      </c>
      <c r="D227" s="10" t="s">
        <v>655</v>
      </c>
      <c r="E227" s="10" t="s">
        <v>656</v>
      </c>
      <c r="F227" s="10" t="s">
        <v>571</v>
      </c>
      <c r="G227" s="15">
        <v>95.9</v>
      </c>
    </row>
    <row r="228" spans="1:7" x14ac:dyDescent="0.25">
      <c r="A228" s="9" t="s">
        <v>1006</v>
      </c>
      <c r="B228" s="10" t="s">
        <v>336</v>
      </c>
      <c r="C228" s="10" t="s">
        <v>1020</v>
      </c>
      <c r="D228" s="10" t="s">
        <v>850</v>
      </c>
      <c r="E228" s="10" t="s">
        <v>1021</v>
      </c>
      <c r="F228" s="10" t="s">
        <v>567</v>
      </c>
      <c r="G228" s="15">
        <v>95.9</v>
      </c>
    </row>
    <row r="229" spans="1:7" x14ac:dyDescent="0.25">
      <c r="A229" s="9" t="s">
        <v>1006</v>
      </c>
      <c r="B229" s="10" t="s">
        <v>358</v>
      </c>
      <c r="C229" s="10" t="s">
        <v>1022</v>
      </c>
      <c r="D229" s="10" t="s">
        <v>1023</v>
      </c>
      <c r="E229" s="10" t="s">
        <v>1024</v>
      </c>
      <c r="F229" s="10" t="s">
        <v>567</v>
      </c>
      <c r="G229" s="15">
        <v>189.02</v>
      </c>
    </row>
    <row r="230" spans="1:7" x14ac:dyDescent="0.25">
      <c r="A230" s="9" t="s">
        <v>1006</v>
      </c>
      <c r="B230" s="10" t="s">
        <v>366</v>
      </c>
      <c r="C230" s="10" t="s">
        <v>962</v>
      </c>
      <c r="D230" s="10" t="s">
        <v>963</v>
      </c>
      <c r="E230" s="10" t="s">
        <v>964</v>
      </c>
      <c r="F230" s="10" t="s">
        <v>567</v>
      </c>
      <c r="G230" s="15">
        <v>95.9</v>
      </c>
    </row>
    <row r="231" spans="1:7" x14ac:dyDescent="0.25">
      <c r="A231" s="9" t="s">
        <v>1006</v>
      </c>
      <c r="B231" s="10" t="s">
        <v>390</v>
      </c>
      <c r="C231" s="10" t="s">
        <v>75</v>
      </c>
      <c r="D231" s="10" t="s">
        <v>968</v>
      </c>
      <c r="E231" s="10" t="s">
        <v>969</v>
      </c>
      <c r="F231" s="10" t="s">
        <v>571</v>
      </c>
      <c r="G231" s="15">
        <v>111.42</v>
      </c>
    </row>
    <row r="232" spans="1:7" x14ac:dyDescent="0.25">
      <c r="A232" s="9" t="s">
        <v>1006</v>
      </c>
      <c r="B232" s="10" t="s">
        <v>390</v>
      </c>
      <c r="C232" s="10" t="s">
        <v>1025</v>
      </c>
      <c r="D232" s="10" t="s">
        <v>1026</v>
      </c>
      <c r="E232" s="10" t="s">
        <v>1027</v>
      </c>
      <c r="F232" s="10" t="s">
        <v>567</v>
      </c>
      <c r="G232" s="15">
        <v>49.34</v>
      </c>
    </row>
    <row r="233" spans="1:7" x14ac:dyDescent="0.25">
      <c r="A233" s="9" t="s">
        <v>1006</v>
      </c>
      <c r="B233" s="10" t="s">
        <v>392</v>
      </c>
      <c r="C233" s="10" t="s">
        <v>970</v>
      </c>
      <c r="D233" s="10" t="s">
        <v>971</v>
      </c>
      <c r="E233" s="10" t="s">
        <v>972</v>
      </c>
      <c r="F233" s="10" t="s">
        <v>648</v>
      </c>
      <c r="G233" s="15">
        <v>140.88</v>
      </c>
    </row>
    <row r="234" spans="1:7" x14ac:dyDescent="0.25">
      <c r="A234" s="9" t="s">
        <v>1006</v>
      </c>
      <c r="B234" s="10" t="s">
        <v>478</v>
      </c>
      <c r="C234" s="10" t="s">
        <v>75</v>
      </c>
      <c r="D234" s="10" t="s">
        <v>659</v>
      </c>
      <c r="E234" s="10" t="s">
        <v>660</v>
      </c>
      <c r="F234" s="10" t="s">
        <v>571</v>
      </c>
      <c r="G234" s="15">
        <v>95.9</v>
      </c>
    </row>
    <row r="235" spans="1:7" x14ac:dyDescent="0.25">
      <c r="A235" s="9" t="s">
        <v>1006</v>
      </c>
      <c r="B235" s="10" t="s">
        <v>478</v>
      </c>
      <c r="C235" s="10" t="s">
        <v>661</v>
      </c>
      <c r="D235" s="10" t="s">
        <v>662</v>
      </c>
      <c r="E235" s="10" t="s">
        <v>663</v>
      </c>
      <c r="F235" s="10" t="s">
        <v>567</v>
      </c>
      <c r="G235" s="15">
        <v>95.9</v>
      </c>
    </row>
    <row r="236" spans="1:7" x14ac:dyDescent="0.25">
      <c r="A236" s="9" t="s">
        <v>1006</v>
      </c>
      <c r="B236" s="10" t="s">
        <v>480</v>
      </c>
      <c r="C236" s="10" t="s">
        <v>75</v>
      </c>
      <c r="D236" s="10" t="s">
        <v>664</v>
      </c>
      <c r="E236" s="10" t="s">
        <v>665</v>
      </c>
      <c r="F236" s="10" t="s">
        <v>571</v>
      </c>
      <c r="G236" s="15">
        <v>95.9</v>
      </c>
    </row>
    <row r="237" spans="1:7" x14ac:dyDescent="0.25">
      <c r="A237" s="9" t="s">
        <v>1006</v>
      </c>
      <c r="B237" s="10" t="s">
        <v>480</v>
      </c>
      <c r="C237" s="10" t="s">
        <v>666</v>
      </c>
      <c r="D237" s="10" t="s">
        <v>667</v>
      </c>
      <c r="E237" s="10" t="s">
        <v>668</v>
      </c>
      <c r="F237" s="10" t="s">
        <v>567</v>
      </c>
      <c r="G237" s="15">
        <v>95.9</v>
      </c>
    </row>
    <row r="238" spans="1:7" x14ac:dyDescent="0.25">
      <c r="A238" s="9" t="s">
        <v>1006</v>
      </c>
      <c r="B238" s="10" t="s">
        <v>480</v>
      </c>
      <c r="C238" s="10" t="s">
        <v>669</v>
      </c>
      <c r="D238" s="10" t="s">
        <v>670</v>
      </c>
      <c r="E238" s="10" t="s">
        <v>671</v>
      </c>
      <c r="F238" s="10" t="s">
        <v>571</v>
      </c>
      <c r="G238" s="15">
        <v>95.9</v>
      </c>
    </row>
    <row r="239" spans="1:7" x14ac:dyDescent="0.25">
      <c r="A239" s="9" t="s">
        <v>1006</v>
      </c>
      <c r="B239" s="10" t="s">
        <v>496</v>
      </c>
      <c r="C239" s="10" t="s">
        <v>672</v>
      </c>
      <c r="D239" s="10" t="s">
        <v>673</v>
      </c>
      <c r="E239" s="10" t="s">
        <v>674</v>
      </c>
      <c r="F239" s="10" t="s">
        <v>571</v>
      </c>
      <c r="G239" s="15">
        <v>95.9</v>
      </c>
    </row>
    <row r="240" spans="1:7" x14ac:dyDescent="0.25">
      <c r="A240" s="9" t="s">
        <v>1006</v>
      </c>
      <c r="B240" s="10" t="s">
        <v>496</v>
      </c>
      <c r="C240" s="10" t="s">
        <v>675</v>
      </c>
      <c r="D240" s="10" t="s">
        <v>676</v>
      </c>
      <c r="E240" s="10" t="s">
        <v>677</v>
      </c>
      <c r="F240" s="10" t="s">
        <v>567</v>
      </c>
      <c r="G240" s="15">
        <v>95.9</v>
      </c>
    </row>
    <row r="241" spans="1:7" x14ac:dyDescent="0.25">
      <c r="A241" s="9" t="s">
        <v>1006</v>
      </c>
      <c r="B241" s="10" t="s">
        <v>498</v>
      </c>
      <c r="C241" s="10" t="s">
        <v>678</v>
      </c>
      <c r="D241" s="10" t="s">
        <v>679</v>
      </c>
      <c r="E241" s="10" t="s">
        <v>680</v>
      </c>
      <c r="F241" s="10" t="s">
        <v>571</v>
      </c>
      <c r="G241" s="15">
        <v>95.9</v>
      </c>
    </row>
    <row r="242" spans="1:7" x14ac:dyDescent="0.25">
      <c r="A242" s="9" t="s">
        <v>1006</v>
      </c>
      <c r="B242" s="10" t="s">
        <v>508</v>
      </c>
      <c r="C242" s="10" t="s">
        <v>75</v>
      </c>
      <c r="D242" s="10" t="s">
        <v>683</v>
      </c>
      <c r="E242" s="10" t="s">
        <v>684</v>
      </c>
      <c r="F242" s="10" t="s">
        <v>571</v>
      </c>
      <c r="G242" s="15">
        <v>205.52</v>
      </c>
    </row>
    <row r="243" spans="1:7" x14ac:dyDescent="0.25">
      <c r="A243" s="9" t="s">
        <v>1006</v>
      </c>
      <c r="B243" s="10" t="s">
        <v>508</v>
      </c>
      <c r="C243" s="10" t="s">
        <v>75</v>
      </c>
      <c r="D243" s="10" t="s">
        <v>685</v>
      </c>
      <c r="E243" s="10" t="s">
        <v>686</v>
      </c>
      <c r="F243" s="10" t="s">
        <v>571</v>
      </c>
      <c r="G243" s="15">
        <v>205.52</v>
      </c>
    </row>
    <row r="244" spans="1:7" x14ac:dyDescent="0.25">
      <c r="A244" s="9" t="s">
        <v>1006</v>
      </c>
      <c r="B244" s="10" t="s">
        <v>512</v>
      </c>
      <c r="C244" s="10" t="s">
        <v>1002</v>
      </c>
      <c r="D244" s="10" t="s">
        <v>1003</v>
      </c>
      <c r="E244" s="10" t="s">
        <v>1004</v>
      </c>
      <c r="F244" s="10" t="s">
        <v>571</v>
      </c>
      <c r="G244" s="15">
        <v>64.86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E300"/>
  <sheetViews>
    <sheetView workbookViewId="0">
      <selection activeCell="D3" sqref="D3"/>
    </sheetView>
  </sheetViews>
  <sheetFormatPr defaultRowHeight="15" x14ac:dyDescent="0.25"/>
  <cols>
    <col min="1" max="1" width="9" style="9" customWidth="1"/>
    <col min="2" max="2" width="19.375" style="10" customWidth="1"/>
    <col min="3" max="3" width="37.875" style="9" customWidth="1"/>
    <col min="4" max="4" width="12.125" style="15" bestFit="1" customWidth="1"/>
    <col min="5" max="5" width="13.25" style="13" customWidth="1"/>
  </cols>
  <sheetData>
    <row r="1" spans="1:5" ht="47.85" customHeight="1" x14ac:dyDescent="0.25">
      <c r="A1" s="21" t="s">
        <v>61</v>
      </c>
      <c r="B1" s="22"/>
      <c r="C1" s="22"/>
      <c r="D1" s="22"/>
      <c r="E1"/>
    </row>
    <row r="2" spans="1:5" ht="24" x14ac:dyDescent="0.25">
      <c r="A2" s="12" t="s">
        <v>70</v>
      </c>
      <c r="B2" s="12" t="s">
        <v>62</v>
      </c>
      <c r="C2" s="12" t="s">
        <v>23</v>
      </c>
      <c r="D2" s="17" t="str">
        <f>CONCATENATE("Valor pago no Ano",CHAR(10),"TOTAL: ",ROUND(SUM(D3:D1048576),2))</f>
        <v>Valor pago no Ano
TOTAL: 150838,29</v>
      </c>
    </row>
    <row r="3" spans="1:5" x14ac:dyDescent="0.25">
      <c r="A3" s="9" t="s">
        <v>562</v>
      </c>
      <c r="B3" s="10" t="s">
        <v>88</v>
      </c>
      <c r="C3" s="9" t="s">
        <v>89</v>
      </c>
      <c r="D3" s="15">
        <v>725.61</v>
      </c>
    </row>
    <row r="4" spans="1:5" x14ac:dyDescent="0.25">
      <c r="A4" s="9" t="s">
        <v>562</v>
      </c>
      <c r="B4" s="10" t="s">
        <v>92</v>
      </c>
      <c r="C4" s="9" t="s">
        <v>93</v>
      </c>
      <c r="D4" s="15">
        <v>674.38</v>
      </c>
    </row>
    <row r="5" spans="1:5" x14ac:dyDescent="0.25">
      <c r="A5" s="9" t="s">
        <v>562</v>
      </c>
      <c r="B5" s="10" t="s">
        <v>94</v>
      </c>
      <c r="C5" s="9" t="s">
        <v>95</v>
      </c>
      <c r="D5" s="15">
        <v>615.32000000000005</v>
      </c>
    </row>
    <row r="6" spans="1:5" x14ac:dyDescent="0.25">
      <c r="A6" s="9" t="s">
        <v>562</v>
      </c>
      <c r="B6" s="10" t="s">
        <v>106</v>
      </c>
      <c r="C6" s="9" t="s">
        <v>107</v>
      </c>
      <c r="D6" s="15">
        <v>725.61</v>
      </c>
    </row>
    <row r="7" spans="1:5" x14ac:dyDescent="0.25">
      <c r="A7" s="9" t="s">
        <v>562</v>
      </c>
      <c r="B7" s="10" t="s">
        <v>108</v>
      </c>
      <c r="C7" s="9" t="s">
        <v>109</v>
      </c>
      <c r="D7" s="15">
        <v>556.26</v>
      </c>
    </row>
    <row r="8" spans="1:5" x14ac:dyDescent="0.25">
      <c r="A8" s="9" t="s">
        <v>562</v>
      </c>
      <c r="B8" s="10" t="s">
        <v>116</v>
      </c>
      <c r="C8" s="9" t="s">
        <v>117</v>
      </c>
      <c r="D8" s="15">
        <v>236.24</v>
      </c>
    </row>
    <row r="9" spans="1:5" x14ac:dyDescent="0.25">
      <c r="A9" s="9" t="s">
        <v>562</v>
      </c>
      <c r="B9" s="10" t="s">
        <v>120</v>
      </c>
      <c r="C9" s="9" t="s">
        <v>121</v>
      </c>
      <c r="D9" s="15">
        <v>556.26</v>
      </c>
    </row>
    <row r="10" spans="1:5" x14ac:dyDescent="0.25">
      <c r="A10" s="9" t="s">
        <v>562</v>
      </c>
      <c r="B10" s="10" t="s">
        <v>124</v>
      </c>
      <c r="C10" s="9" t="s">
        <v>125</v>
      </c>
      <c r="D10" s="15">
        <v>134.6</v>
      </c>
    </row>
    <row r="11" spans="1:5" x14ac:dyDescent="0.25">
      <c r="A11" s="9" t="s">
        <v>562</v>
      </c>
      <c r="B11" s="10" t="s">
        <v>130</v>
      </c>
      <c r="C11" s="9" t="s">
        <v>131</v>
      </c>
      <c r="D11" s="15">
        <v>725.61</v>
      </c>
    </row>
    <row r="12" spans="1:5" x14ac:dyDescent="0.25">
      <c r="A12" s="9" t="s">
        <v>562</v>
      </c>
      <c r="B12" s="10" t="s">
        <v>134</v>
      </c>
      <c r="C12" s="9" t="s">
        <v>135</v>
      </c>
      <c r="D12" s="15">
        <v>725.61</v>
      </c>
    </row>
    <row r="13" spans="1:5" x14ac:dyDescent="0.25">
      <c r="A13" s="9" t="s">
        <v>562</v>
      </c>
      <c r="B13" s="10" t="s">
        <v>136</v>
      </c>
      <c r="C13" s="9" t="s">
        <v>137</v>
      </c>
      <c r="D13" s="15">
        <v>269.2</v>
      </c>
    </row>
    <row r="14" spans="1:5" x14ac:dyDescent="0.25">
      <c r="A14" s="9" t="s">
        <v>562</v>
      </c>
      <c r="B14" s="10" t="s">
        <v>138</v>
      </c>
      <c r="C14" s="9" t="s">
        <v>139</v>
      </c>
      <c r="D14" s="15">
        <v>438.14</v>
      </c>
    </row>
    <row r="15" spans="1:5" x14ac:dyDescent="0.25">
      <c r="A15" s="9" t="s">
        <v>562</v>
      </c>
      <c r="B15" s="10" t="s">
        <v>140</v>
      </c>
      <c r="C15" s="9" t="s">
        <v>141</v>
      </c>
      <c r="D15" s="15">
        <v>674.38</v>
      </c>
    </row>
    <row r="16" spans="1:5" x14ac:dyDescent="0.25">
      <c r="A16" s="9" t="s">
        <v>562</v>
      </c>
      <c r="B16" s="10" t="s">
        <v>142</v>
      </c>
      <c r="C16" s="9" t="s">
        <v>143</v>
      </c>
      <c r="D16" s="15">
        <v>725.61</v>
      </c>
    </row>
    <row r="17" spans="1:4" x14ac:dyDescent="0.25">
      <c r="A17" s="9" t="s">
        <v>562</v>
      </c>
      <c r="B17" s="10" t="s">
        <v>156</v>
      </c>
      <c r="C17" s="9" t="s">
        <v>157</v>
      </c>
      <c r="D17" s="15">
        <v>134.6</v>
      </c>
    </row>
    <row r="18" spans="1:4" x14ac:dyDescent="0.25">
      <c r="A18" s="9" t="s">
        <v>562</v>
      </c>
      <c r="B18" s="10" t="s">
        <v>174</v>
      </c>
      <c r="C18" s="9" t="s">
        <v>175</v>
      </c>
      <c r="D18" s="15">
        <v>521.91999999999996</v>
      </c>
    </row>
    <row r="19" spans="1:4" x14ac:dyDescent="0.25">
      <c r="A19" s="9" t="s">
        <v>562</v>
      </c>
      <c r="B19" s="10" t="s">
        <v>178</v>
      </c>
      <c r="C19" s="9" t="s">
        <v>179</v>
      </c>
      <c r="D19" s="15">
        <v>379.08</v>
      </c>
    </row>
    <row r="20" spans="1:4" x14ac:dyDescent="0.25">
      <c r="A20" s="9" t="s">
        <v>562</v>
      </c>
      <c r="B20" s="10" t="s">
        <v>180</v>
      </c>
      <c r="C20" s="9" t="s">
        <v>181</v>
      </c>
      <c r="D20" s="15">
        <v>1451.22</v>
      </c>
    </row>
    <row r="21" spans="1:4" x14ac:dyDescent="0.25">
      <c r="A21" s="9" t="s">
        <v>562</v>
      </c>
      <c r="B21" s="10" t="s">
        <v>190</v>
      </c>
      <c r="C21" s="9" t="s">
        <v>191</v>
      </c>
      <c r="D21" s="15">
        <v>260.95999999999998</v>
      </c>
    </row>
    <row r="22" spans="1:4" x14ac:dyDescent="0.25">
      <c r="A22" s="9" t="s">
        <v>562</v>
      </c>
      <c r="B22" s="10" t="s">
        <v>196</v>
      </c>
      <c r="C22" s="9" t="s">
        <v>197</v>
      </c>
      <c r="D22" s="15">
        <v>725.61</v>
      </c>
    </row>
    <row r="23" spans="1:4" x14ac:dyDescent="0.25">
      <c r="A23" s="9" t="s">
        <v>562</v>
      </c>
      <c r="B23" s="10" t="s">
        <v>198</v>
      </c>
      <c r="C23" s="9" t="s">
        <v>199</v>
      </c>
      <c r="D23" s="15">
        <v>134.6</v>
      </c>
    </row>
    <row r="24" spans="1:4" x14ac:dyDescent="0.25">
      <c r="A24" s="9" t="s">
        <v>562</v>
      </c>
      <c r="B24" s="10" t="s">
        <v>206</v>
      </c>
      <c r="C24" s="9" t="s">
        <v>207</v>
      </c>
      <c r="D24" s="15">
        <v>725.61</v>
      </c>
    </row>
    <row r="25" spans="1:4" x14ac:dyDescent="0.25">
      <c r="A25" s="9" t="s">
        <v>562</v>
      </c>
      <c r="B25" s="10" t="s">
        <v>212</v>
      </c>
      <c r="C25" s="9" t="s">
        <v>213</v>
      </c>
      <c r="D25" s="15">
        <v>615.32000000000005</v>
      </c>
    </row>
    <row r="26" spans="1:4" x14ac:dyDescent="0.25">
      <c r="A26" s="9" t="s">
        <v>562</v>
      </c>
      <c r="B26" s="10" t="s">
        <v>214</v>
      </c>
      <c r="C26" s="9" t="s">
        <v>215</v>
      </c>
      <c r="D26" s="15">
        <v>1451.22</v>
      </c>
    </row>
    <row r="27" spans="1:4" x14ac:dyDescent="0.25">
      <c r="A27" s="9" t="s">
        <v>562</v>
      </c>
      <c r="B27" s="10" t="s">
        <v>220</v>
      </c>
      <c r="C27" s="9" t="s">
        <v>221</v>
      </c>
      <c r="D27" s="15">
        <v>556.26</v>
      </c>
    </row>
    <row r="28" spans="1:4" x14ac:dyDescent="0.25">
      <c r="A28" s="9" t="s">
        <v>562</v>
      </c>
      <c r="B28" s="10" t="s">
        <v>222</v>
      </c>
      <c r="C28" s="9" t="s">
        <v>223</v>
      </c>
      <c r="D28" s="15">
        <v>725.61</v>
      </c>
    </row>
    <row r="29" spans="1:4" x14ac:dyDescent="0.25">
      <c r="A29" s="9" t="s">
        <v>562</v>
      </c>
      <c r="B29" s="10" t="s">
        <v>282</v>
      </c>
      <c r="C29" s="9" t="s">
        <v>283</v>
      </c>
      <c r="D29" s="15">
        <v>725.61</v>
      </c>
    </row>
    <row r="30" spans="1:4" x14ac:dyDescent="0.25">
      <c r="A30" s="9" t="s">
        <v>562</v>
      </c>
      <c r="B30" s="10" t="s">
        <v>288</v>
      </c>
      <c r="C30" s="9" t="s">
        <v>289</v>
      </c>
      <c r="D30" s="15">
        <v>67.3</v>
      </c>
    </row>
    <row r="31" spans="1:4" x14ac:dyDescent="0.25">
      <c r="A31" s="9" t="s">
        <v>562</v>
      </c>
      <c r="B31" s="10" t="s">
        <v>298</v>
      </c>
      <c r="C31" s="9" t="s">
        <v>299</v>
      </c>
      <c r="D31" s="15">
        <v>725.61</v>
      </c>
    </row>
    <row r="32" spans="1:4" x14ac:dyDescent="0.25">
      <c r="A32" s="9" t="s">
        <v>562</v>
      </c>
      <c r="B32" s="10" t="s">
        <v>310</v>
      </c>
      <c r="C32" s="9" t="s">
        <v>311</v>
      </c>
      <c r="D32" s="15">
        <v>438.14</v>
      </c>
    </row>
    <row r="33" spans="1:4" x14ac:dyDescent="0.25">
      <c r="A33" s="9" t="s">
        <v>562</v>
      </c>
      <c r="B33" s="10" t="s">
        <v>336</v>
      </c>
      <c r="C33" s="9" t="s">
        <v>337</v>
      </c>
      <c r="D33" s="15">
        <v>379.08</v>
      </c>
    </row>
    <row r="34" spans="1:4" x14ac:dyDescent="0.25">
      <c r="A34" s="9" t="s">
        <v>562</v>
      </c>
      <c r="B34" s="10" t="s">
        <v>394</v>
      </c>
      <c r="C34" s="9" t="s">
        <v>395</v>
      </c>
      <c r="D34" s="15">
        <v>725.61</v>
      </c>
    </row>
    <row r="35" spans="1:4" x14ac:dyDescent="0.25">
      <c r="A35" s="9" t="s">
        <v>562</v>
      </c>
      <c r="B35" s="10" t="s">
        <v>398</v>
      </c>
      <c r="C35" s="9" t="s">
        <v>399</v>
      </c>
      <c r="D35" s="15">
        <v>438.14</v>
      </c>
    </row>
    <row r="36" spans="1:4" x14ac:dyDescent="0.25">
      <c r="A36" s="9" t="s">
        <v>562</v>
      </c>
      <c r="B36" s="10" t="s">
        <v>404</v>
      </c>
      <c r="C36" s="9" t="s">
        <v>405</v>
      </c>
      <c r="D36" s="15">
        <v>497.2</v>
      </c>
    </row>
    <row r="37" spans="1:4" x14ac:dyDescent="0.25">
      <c r="A37" s="9" t="s">
        <v>562</v>
      </c>
      <c r="B37" s="10" t="s">
        <v>410</v>
      </c>
      <c r="C37" s="9" t="s">
        <v>411</v>
      </c>
      <c r="D37" s="15">
        <v>615.32000000000005</v>
      </c>
    </row>
    <row r="38" spans="1:4" x14ac:dyDescent="0.25">
      <c r="A38" s="9" t="s">
        <v>562</v>
      </c>
      <c r="B38" s="10" t="s">
        <v>412</v>
      </c>
      <c r="C38" s="9" t="s">
        <v>413</v>
      </c>
      <c r="D38" s="15">
        <v>1230.6400000000001</v>
      </c>
    </row>
    <row r="39" spans="1:4" x14ac:dyDescent="0.25">
      <c r="A39" s="9" t="s">
        <v>562</v>
      </c>
      <c r="B39" s="10" t="s">
        <v>422</v>
      </c>
      <c r="C39" s="9" t="s">
        <v>423</v>
      </c>
      <c r="D39" s="15">
        <v>379.08</v>
      </c>
    </row>
    <row r="40" spans="1:4" x14ac:dyDescent="0.25">
      <c r="A40" s="9" t="s">
        <v>562</v>
      </c>
      <c r="B40" s="10" t="s">
        <v>424</v>
      </c>
      <c r="C40" s="9" t="s">
        <v>425</v>
      </c>
      <c r="D40" s="15">
        <v>725.61</v>
      </c>
    </row>
    <row r="41" spans="1:4" x14ac:dyDescent="0.25">
      <c r="A41" s="9" t="s">
        <v>562</v>
      </c>
      <c r="B41" s="10" t="s">
        <v>430</v>
      </c>
      <c r="C41" s="9" t="s">
        <v>431</v>
      </c>
      <c r="D41" s="15">
        <v>497.2</v>
      </c>
    </row>
    <row r="42" spans="1:4" x14ac:dyDescent="0.25">
      <c r="A42" s="9" t="s">
        <v>562</v>
      </c>
      <c r="B42" s="10" t="s">
        <v>438</v>
      </c>
      <c r="C42" s="9" t="s">
        <v>439</v>
      </c>
      <c r="D42" s="15">
        <v>51.23</v>
      </c>
    </row>
    <row r="43" spans="1:4" x14ac:dyDescent="0.25">
      <c r="A43" s="9" t="s">
        <v>562</v>
      </c>
      <c r="B43" s="10" t="s">
        <v>444</v>
      </c>
      <c r="C43" s="9" t="s">
        <v>445</v>
      </c>
      <c r="D43" s="15">
        <v>260.95999999999998</v>
      </c>
    </row>
    <row r="44" spans="1:4" x14ac:dyDescent="0.25">
      <c r="A44" s="9" t="s">
        <v>562</v>
      </c>
      <c r="B44" s="10" t="s">
        <v>446</v>
      </c>
      <c r="C44" s="9" t="s">
        <v>447</v>
      </c>
      <c r="D44" s="15">
        <v>591.01</v>
      </c>
    </row>
    <row r="45" spans="1:4" x14ac:dyDescent="0.25">
      <c r="A45" s="9" t="s">
        <v>562</v>
      </c>
      <c r="B45" s="10" t="s">
        <v>466</v>
      </c>
      <c r="C45" s="9" t="s">
        <v>467</v>
      </c>
      <c r="D45" s="15">
        <v>615.32000000000005</v>
      </c>
    </row>
    <row r="46" spans="1:4" x14ac:dyDescent="0.25">
      <c r="A46" s="9" t="s">
        <v>562</v>
      </c>
      <c r="B46" s="10" t="s">
        <v>468</v>
      </c>
      <c r="C46" s="9" t="s">
        <v>469</v>
      </c>
      <c r="D46" s="15">
        <v>260.95999999999998</v>
      </c>
    </row>
    <row r="47" spans="1:4" x14ac:dyDescent="0.25">
      <c r="A47" s="9" t="s">
        <v>562</v>
      </c>
      <c r="B47" s="10" t="s">
        <v>478</v>
      </c>
      <c r="C47" s="9" t="s">
        <v>479</v>
      </c>
      <c r="D47" s="15">
        <v>134.6</v>
      </c>
    </row>
    <row r="48" spans="1:4" x14ac:dyDescent="0.25">
      <c r="A48" s="9" t="s">
        <v>562</v>
      </c>
      <c r="B48" s="10" t="s">
        <v>480</v>
      </c>
      <c r="C48" s="9" t="s">
        <v>481</v>
      </c>
      <c r="D48" s="15">
        <v>438.14</v>
      </c>
    </row>
    <row r="49" spans="1:4" x14ac:dyDescent="0.25">
      <c r="A49" s="9" t="s">
        <v>562</v>
      </c>
      <c r="B49" s="10" t="s">
        <v>496</v>
      </c>
      <c r="C49" s="9" t="s">
        <v>497</v>
      </c>
      <c r="D49" s="15">
        <v>438.14</v>
      </c>
    </row>
    <row r="50" spans="1:4" x14ac:dyDescent="0.25">
      <c r="A50" s="9" t="s">
        <v>562</v>
      </c>
      <c r="B50" s="10" t="s">
        <v>498</v>
      </c>
      <c r="C50" s="9" t="s">
        <v>499</v>
      </c>
      <c r="D50" s="15">
        <v>438.14</v>
      </c>
    </row>
    <row r="51" spans="1:4" x14ac:dyDescent="0.25">
      <c r="A51" s="9" t="s">
        <v>562</v>
      </c>
      <c r="B51" s="10" t="s">
        <v>506</v>
      </c>
      <c r="C51" s="9" t="s">
        <v>507</v>
      </c>
      <c r="D51" s="15">
        <v>811.18</v>
      </c>
    </row>
    <row r="52" spans="1:4" x14ac:dyDescent="0.25">
      <c r="A52" s="9" t="s">
        <v>562</v>
      </c>
      <c r="B52" s="10" t="s">
        <v>508</v>
      </c>
      <c r="C52" s="9" t="s">
        <v>509</v>
      </c>
      <c r="D52" s="15">
        <v>521.91999999999996</v>
      </c>
    </row>
    <row r="53" spans="1:4" x14ac:dyDescent="0.25">
      <c r="A53" s="9" t="s">
        <v>688</v>
      </c>
      <c r="B53" s="10" t="s">
        <v>90</v>
      </c>
      <c r="C53" s="9" t="s">
        <v>91</v>
      </c>
      <c r="D53" s="15">
        <v>835.28</v>
      </c>
    </row>
    <row r="54" spans="1:4" x14ac:dyDescent="0.25">
      <c r="A54" s="9" t="s">
        <v>688</v>
      </c>
      <c r="B54" s="10" t="s">
        <v>94</v>
      </c>
      <c r="C54" s="9" t="s">
        <v>95</v>
      </c>
      <c r="D54" s="15">
        <v>134.18</v>
      </c>
    </row>
    <row r="55" spans="1:4" x14ac:dyDescent="0.25">
      <c r="A55" s="9" t="s">
        <v>688</v>
      </c>
      <c r="B55" s="10" t="s">
        <v>96</v>
      </c>
      <c r="C55" s="9" t="s">
        <v>97</v>
      </c>
      <c r="D55" s="15">
        <v>169.42</v>
      </c>
    </row>
    <row r="56" spans="1:4" x14ac:dyDescent="0.25">
      <c r="A56" s="9" t="s">
        <v>688</v>
      </c>
      <c r="B56" s="10" t="s">
        <v>98</v>
      </c>
      <c r="C56" s="9" t="s">
        <v>99</v>
      </c>
      <c r="D56" s="15">
        <v>95.27</v>
      </c>
    </row>
    <row r="57" spans="1:4" x14ac:dyDescent="0.25">
      <c r="A57" s="9" t="s">
        <v>688</v>
      </c>
      <c r="B57" s="10" t="s">
        <v>100</v>
      </c>
      <c r="C57" s="9" t="s">
        <v>101</v>
      </c>
      <c r="D57" s="15">
        <v>169.42</v>
      </c>
    </row>
    <row r="58" spans="1:4" x14ac:dyDescent="0.25">
      <c r="A58" s="9" t="s">
        <v>688</v>
      </c>
      <c r="B58" s="10" t="s">
        <v>102</v>
      </c>
      <c r="C58" s="9" t="s">
        <v>103</v>
      </c>
      <c r="D58" s="15">
        <v>1902.03</v>
      </c>
    </row>
    <row r="59" spans="1:4" x14ac:dyDescent="0.25">
      <c r="A59" s="9" t="s">
        <v>688</v>
      </c>
      <c r="B59" s="10" t="s">
        <v>104</v>
      </c>
      <c r="C59" s="9" t="s">
        <v>105</v>
      </c>
      <c r="D59" s="15">
        <v>835.28</v>
      </c>
    </row>
    <row r="60" spans="1:4" x14ac:dyDescent="0.25">
      <c r="A60" s="9" t="s">
        <v>688</v>
      </c>
      <c r="B60" s="10" t="s">
        <v>110</v>
      </c>
      <c r="C60" s="9" t="s">
        <v>111</v>
      </c>
      <c r="D60" s="15">
        <v>835.28</v>
      </c>
    </row>
    <row r="61" spans="1:4" x14ac:dyDescent="0.25">
      <c r="A61" s="9" t="s">
        <v>688</v>
      </c>
      <c r="B61" s="10" t="s">
        <v>112</v>
      </c>
      <c r="C61" s="9" t="s">
        <v>113</v>
      </c>
      <c r="D61" s="15">
        <v>1579.17</v>
      </c>
    </row>
    <row r="62" spans="1:4" x14ac:dyDescent="0.25">
      <c r="A62" s="9" t="s">
        <v>688</v>
      </c>
      <c r="B62" s="10" t="s">
        <v>114</v>
      </c>
      <c r="C62" s="9" t="s">
        <v>115</v>
      </c>
      <c r="D62" s="15">
        <v>169.42</v>
      </c>
    </row>
    <row r="63" spans="1:4" x14ac:dyDescent="0.25">
      <c r="A63" s="9" t="s">
        <v>688</v>
      </c>
      <c r="B63" s="10" t="s">
        <v>118</v>
      </c>
      <c r="C63" s="9" t="s">
        <v>119</v>
      </c>
      <c r="D63" s="15">
        <v>508.26</v>
      </c>
    </row>
    <row r="64" spans="1:4" x14ac:dyDescent="0.25">
      <c r="A64" s="9" t="s">
        <v>688</v>
      </c>
      <c r="B64" s="10" t="s">
        <v>122</v>
      </c>
      <c r="C64" s="9" t="s">
        <v>123</v>
      </c>
      <c r="D64" s="15">
        <v>169.42</v>
      </c>
    </row>
    <row r="65" spans="1:4" x14ac:dyDescent="0.25">
      <c r="A65" s="9" t="s">
        <v>688</v>
      </c>
      <c r="B65" s="10" t="s">
        <v>126</v>
      </c>
      <c r="C65" s="9" t="s">
        <v>127</v>
      </c>
      <c r="D65" s="15">
        <v>40.83</v>
      </c>
    </row>
    <row r="66" spans="1:4" x14ac:dyDescent="0.25">
      <c r="A66" s="9" t="s">
        <v>688</v>
      </c>
      <c r="B66" s="10" t="s">
        <v>128</v>
      </c>
      <c r="C66" s="9" t="s">
        <v>129</v>
      </c>
      <c r="D66" s="15">
        <v>335.45</v>
      </c>
    </row>
    <row r="67" spans="1:4" x14ac:dyDescent="0.25">
      <c r="A67" s="9" t="s">
        <v>688</v>
      </c>
      <c r="B67" s="10" t="s">
        <v>132</v>
      </c>
      <c r="C67" s="9" t="s">
        <v>133</v>
      </c>
      <c r="D67" s="15">
        <v>169.42</v>
      </c>
    </row>
    <row r="68" spans="1:4" x14ac:dyDescent="0.25">
      <c r="A68" s="9" t="s">
        <v>688</v>
      </c>
      <c r="B68" s="10" t="s">
        <v>144</v>
      </c>
      <c r="C68" s="9" t="s">
        <v>145</v>
      </c>
      <c r="D68" s="15">
        <v>169.42</v>
      </c>
    </row>
    <row r="69" spans="1:4" x14ac:dyDescent="0.25">
      <c r="A69" s="9" t="s">
        <v>688</v>
      </c>
      <c r="B69" s="10" t="s">
        <v>146</v>
      </c>
      <c r="C69" s="9" t="s">
        <v>147</v>
      </c>
      <c r="D69" s="15">
        <v>169.42</v>
      </c>
    </row>
    <row r="70" spans="1:4" x14ac:dyDescent="0.25">
      <c r="A70" s="9" t="s">
        <v>688</v>
      </c>
      <c r="B70" s="10" t="s">
        <v>148</v>
      </c>
      <c r="C70" s="9" t="s">
        <v>149</v>
      </c>
      <c r="D70" s="15">
        <v>169.42</v>
      </c>
    </row>
    <row r="71" spans="1:4" x14ac:dyDescent="0.25">
      <c r="A71" s="9" t="s">
        <v>688</v>
      </c>
      <c r="B71" s="10" t="s">
        <v>150</v>
      </c>
      <c r="C71" s="9" t="s">
        <v>151</v>
      </c>
      <c r="D71" s="15">
        <v>835.28</v>
      </c>
    </row>
    <row r="72" spans="1:4" x14ac:dyDescent="0.25">
      <c r="A72" s="9" t="s">
        <v>688</v>
      </c>
      <c r="B72" s="10" t="s">
        <v>152</v>
      </c>
      <c r="C72" s="9" t="s">
        <v>153</v>
      </c>
      <c r="D72" s="15">
        <v>169.42</v>
      </c>
    </row>
    <row r="73" spans="1:4" x14ac:dyDescent="0.25">
      <c r="A73" s="9" t="s">
        <v>688</v>
      </c>
      <c r="B73" s="10" t="s">
        <v>154</v>
      </c>
      <c r="C73" s="9" t="s">
        <v>155</v>
      </c>
      <c r="D73" s="15">
        <v>835.28</v>
      </c>
    </row>
    <row r="74" spans="1:4" x14ac:dyDescent="0.25">
      <c r="A74" s="9" t="s">
        <v>688</v>
      </c>
      <c r="B74" s="10" t="s">
        <v>158</v>
      </c>
      <c r="C74" s="9" t="s">
        <v>159</v>
      </c>
      <c r="D74" s="15">
        <v>169.42</v>
      </c>
    </row>
    <row r="75" spans="1:4" x14ac:dyDescent="0.25">
      <c r="A75" s="9" t="s">
        <v>688</v>
      </c>
      <c r="B75" s="10" t="s">
        <v>160</v>
      </c>
      <c r="C75" s="9" t="s">
        <v>161</v>
      </c>
      <c r="D75" s="15">
        <v>835.28</v>
      </c>
    </row>
    <row r="76" spans="1:4" x14ac:dyDescent="0.25">
      <c r="A76" s="9" t="s">
        <v>688</v>
      </c>
      <c r="B76" s="10" t="s">
        <v>162</v>
      </c>
      <c r="C76" s="9" t="s">
        <v>163</v>
      </c>
      <c r="D76" s="15">
        <v>268.36</v>
      </c>
    </row>
    <row r="77" spans="1:4" x14ac:dyDescent="0.25">
      <c r="A77" s="9" t="s">
        <v>688</v>
      </c>
      <c r="B77" s="10" t="s">
        <v>164</v>
      </c>
      <c r="C77" s="9" t="s">
        <v>165</v>
      </c>
      <c r="D77" s="15">
        <v>219.39</v>
      </c>
    </row>
    <row r="78" spans="1:4" x14ac:dyDescent="0.25">
      <c r="A78" s="9" t="s">
        <v>688</v>
      </c>
      <c r="B78" s="10" t="s">
        <v>166</v>
      </c>
      <c r="C78" s="9" t="s">
        <v>167</v>
      </c>
      <c r="D78" s="15">
        <v>298.01</v>
      </c>
    </row>
    <row r="79" spans="1:4" x14ac:dyDescent="0.25">
      <c r="A79" s="9" t="s">
        <v>688</v>
      </c>
      <c r="B79" s="10" t="s">
        <v>168</v>
      </c>
      <c r="C79" s="9" t="s">
        <v>169</v>
      </c>
      <c r="D79" s="15">
        <v>169.42</v>
      </c>
    </row>
    <row r="80" spans="1:4" x14ac:dyDescent="0.25">
      <c r="A80" s="9" t="s">
        <v>688</v>
      </c>
      <c r="B80" s="10" t="s">
        <v>170</v>
      </c>
      <c r="C80" s="9" t="s">
        <v>171</v>
      </c>
      <c r="D80" s="15">
        <v>835.28</v>
      </c>
    </row>
    <row r="81" spans="1:4" x14ac:dyDescent="0.25">
      <c r="A81" s="9" t="s">
        <v>688</v>
      </c>
      <c r="B81" s="10" t="s">
        <v>172</v>
      </c>
      <c r="C81" s="9" t="s">
        <v>173</v>
      </c>
      <c r="D81" s="15">
        <v>835.28</v>
      </c>
    </row>
    <row r="82" spans="1:4" x14ac:dyDescent="0.25">
      <c r="A82" s="9" t="s">
        <v>688</v>
      </c>
      <c r="B82" s="10" t="s">
        <v>176</v>
      </c>
      <c r="C82" s="9" t="s">
        <v>177</v>
      </c>
      <c r="D82" s="15">
        <v>169.42</v>
      </c>
    </row>
    <row r="83" spans="1:4" x14ac:dyDescent="0.25">
      <c r="A83" s="9" t="s">
        <v>688</v>
      </c>
      <c r="B83" s="10" t="s">
        <v>182</v>
      </c>
      <c r="C83" s="9" t="s">
        <v>183</v>
      </c>
      <c r="D83" s="15">
        <v>169.42</v>
      </c>
    </row>
    <row r="84" spans="1:4" x14ac:dyDescent="0.25">
      <c r="A84" s="9" t="s">
        <v>688</v>
      </c>
      <c r="B84" s="10" t="s">
        <v>184</v>
      </c>
      <c r="C84" s="9" t="s">
        <v>185</v>
      </c>
      <c r="D84" s="15">
        <v>146.26</v>
      </c>
    </row>
    <row r="85" spans="1:4" x14ac:dyDescent="0.25">
      <c r="A85" s="9" t="s">
        <v>688</v>
      </c>
      <c r="B85" s="10" t="s">
        <v>186</v>
      </c>
      <c r="C85" s="9" t="s">
        <v>187</v>
      </c>
      <c r="D85" s="15">
        <v>835.28</v>
      </c>
    </row>
    <row r="86" spans="1:4" x14ac:dyDescent="0.25">
      <c r="A86" s="9" t="s">
        <v>688</v>
      </c>
      <c r="B86" s="10" t="s">
        <v>188</v>
      </c>
      <c r="C86" s="9" t="s">
        <v>189</v>
      </c>
      <c r="D86" s="15">
        <v>835.28</v>
      </c>
    </row>
    <row r="87" spans="1:4" x14ac:dyDescent="0.25">
      <c r="A87" s="9" t="s">
        <v>688</v>
      </c>
      <c r="B87" s="10" t="s">
        <v>192</v>
      </c>
      <c r="C87" s="9" t="s">
        <v>193</v>
      </c>
      <c r="D87" s="15">
        <v>169.42</v>
      </c>
    </row>
    <row r="88" spans="1:4" x14ac:dyDescent="0.25">
      <c r="A88" s="9" t="s">
        <v>688</v>
      </c>
      <c r="B88" s="10" t="s">
        <v>194</v>
      </c>
      <c r="C88" s="9" t="s">
        <v>195</v>
      </c>
      <c r="D88" s="15">
        <v>108.88</v>
      </c>
    </row>
    <row r="89" spans="1:4" x14ac:dyDescent="0.25">
      <c r="A89" s="9" t="s">
        <v>688</v>
      </c>
      <c r="B89" s="10" t="s">
        <v>200</v>
      </c>
      <c r="C89" s="9" t="s">
        <v>201</v>
      </c>
      <c r="D89" s="15">
        <v>169.42</v>
      </c>
    </row>
    <row r="90" spans="1:4" x14ac:dyDescent="0.25">
      <c r="A90" s="9" t="s">
        <v>688</v>
      </c>
      <c r="B90" s="10" t="s">
        <v>202</v>
      </c>
      <c r="C90" s="9" t="s">
        <v>203</v>
      </c>
      <c r="D90" s="15">
        <v>432.74</v>
      </c>
    </row>
    <row r="91" spans="1:4" x14ac:dyDescent="0.25">
      <c r="A91" s="9" t="s">
        <v>688</v>
      </c>
      <c r="B91" s="10" t="s">
        <v>204</v>
      </c>
      <c r="C91" s="9" t="s">
        <v>205</v>
      </c>
      <c r="D91" s="15">
        <v>169.42</v>
      </c>
    </row>
    <row r="92" spans="1:4" x14ac:dyDescent="0.25">
      <c r="A92" s="9" t="s">
        <v>688</v>
      </c>
      <c r="B92" s="10" t="s">
        <v>210</v>
      </c>
      <c r="C92" s="9" t="s">
        <v>211</v>
      </c>
      <c r="D92" s="15">
        <v>432.74</v>
      </c>
    </row>
    <row r="93" spans="1:4" x14ac:dyDescent="0.25">
      <c r="A93" s="9" t="s">
        <v>688</v>
      </c>
      <c r="B93" s="10" t="s">
        <v>216</v>
      </c>
      <c r="C93" s="9" t="s">
        <v>217</v>
      </c>
      <c r="D93" s="15">
        <v>1699.33</v>
      </c>
    </row>
    <row r="94" spans="1:4" x14ac:dyDescent="0.25">
      <c r="A94" s="9" t="s">
        <v>688</v>
      </c>
      <c r="B94" s="10" t="s">
        <v>218</v>
      </c>
      <c r="C94" s="9" t="s">
        <v>219</v>
      </c>
      <c r="D94" s="15">
        <v>566.91999999999996</v>
      </c>
    </row>
    <row r="95" spans="1:4" x14ac:dyDescent="0.25">
      <c r="A95" s="9" t="s">
        <v>688</v>
      </c>
      <c r="B95" s="10" t="s">
        <v>226</v>
      </c>
      <c r="C95" s="9" t="s">
        <v>227</v>
      </c>
      <c r="D95" s="15">
        <v>1699.33</v>
      </c>
    </row>
    <row r="96" spans="1:4" x14ac:dyDescent="0.25">
      <c r="A96" s="9" t="s">
        <v>688</v>
      </c>
      <c r="B96" s="10" t="s">
        <v>228</v>
      </c>
      <c r="C96" s="9" t="s">
        <v>229</v>
      </c>
      <c r="D96" s="15">
        <v>566.91999999999996</v>
      </c>
    </row>
    <row r="97" spans="1:4" x14ac:dyDescent="0.25">
      <c r="A97" s="9" t="s">
        <v>688</v>
      </c>
      <c r="B97" s="10" t="s">
        <v>232</v>
      </c>
      <c r="C97" s="9" t="s">
        <v>233</v>
      </c>
      <c r="D97" s="15">
        <v>169.42</v>
      </c>
    </row>
    <row r="98" spans="1:4" x14ac:dyDescent="0.25">
      <c r="A98" s="9" t="s">
        <v>688</v>
      </c>
      <c r="B98" s="10" t="s">
        <v>236</v>
      </c>
      <c r="C98" s="9" t="s">
        <v>237</v>
      </c>
      <c r="D98" s="15">
        <v>835.28</v>
      </c>
    </row>
    <row r="99" spans="1:4" x14ac:dyDescent="0.25">
      <c r="A99" s="9" t="s">
        <v>688</v>
      </c>
      <c r="B99" s="10" t="s">
        <v>238</v>
      </c>
      <c r="C99" s="9" t="s">
        <v>239</v>
      </c>
      <c r="D99" s="15">
        <v>835.28</v>
      </c>
    </row>
    <row r="100" spans="1:4" x14ac:dyDescent="0.25">
      <c r="A100" s="9" t="s">
        <v>688</v>
      </c>
      <c r="B100" s="10" t="s">
        <v>240</v>
      </c>
      <c r="C100" s="9" t="s">
        <v>241</v>
      </c>
      <c r="D100" s="15">
        <v>999.66</v>
      </c>
    </row>
    <row r="101" spans="1:4" x14ac:dyDescent="0.25">
      <c r="A101" s="9" t="s">
        <v>688</v>
      </c>
      <c r="B101" s="10" t="s">
        <v>242</v>
      </c>
      <c r="C101" s="9" t="s">
        <v>243</v>
      </c>
      <c r="D101" s="15">
        <v>835.28</v>
      </c>
    </row>
    <row r="102" spans="1:4" x14ac:dyDescent="0.25">
      <c r="A102" s="9" t="s">
        <v>688</v>
      </c>
      <c r="B102" s="10" t="s">
        <v>244</v>
      </c>
      <c r="C102" s="9" t="s">
        <v>245</v>
      </c>
      <c r="D102" s="15">
        <v>835.28</v>
      </c>
    </row>
    <row r="103" spans="1:4" x14ac:dyDescent="0.25">
      <c r="A103" s="9" t="s">
        <v>688</v>
      </c>
      <c r="B103" s="10" t="s">
        <v>246</v>
      </c>
      <c r="C103" s="9" t="s">
        <v>247</v>
      </c>
      <c r="D103" s="15">
        <v>835.28</v>
      </c>
    </row>
    <row r="104" spans="1:4" x14ac:dyDescent="0.25">
      <c r="A104" s="9" t="s">
        <v>688</v>
      </c>
      <c r="B104" s="10" t="s">
        <v>248</v>
      </c>
      <c r="C104" s="9" t="s">
        <v>249</v>
      </c>
      <c r="D104" s="15">
        <v>566.91999999999996</v>
      </c>
    </row>
    <row r="105" spans="1:4" x14ac:dyDescent="0.25">
      <c r="A105" s="9" t="s">
        <v>688</v>
      </c>
      <c r="B105" s="10" t="s">
        <v>250</v>
      </c>
      <c r="C105" s="9" t="s">
        <v>251</v>
      </c>
      <c r="D105" s="15">
        <v>2124.46</v>
      </c>
    </row>
    <row r="106" spans="1:4" x14ac:dyDescent="0.25">
      <c r="A106" s="9" t="s">
        <v>688</v>
      </c>
      <c r="B106" s="10" t="s">
        <v>252</v>
      </c>
      <c r="C106" s="9" t="s">
        <v>253</v>
      </c>
      <c r="D106" s="15">
        <v>545.96</v>
      </c>
    </row>
    <row r="107" spans="1:4" x14ac:dyDescent="0.25">
      <c r="A107" s="9" t="s">
        <v>688</v>
      </c>
      <c r="B107" s="10" t="s">
        <v>254</v>
      </c>
      <c r="C107" s="9" t="s">
        <v>255</v>
      </c>
      <c r="D107" s="15">
        <v>694.74</v>
      </c>
    </row>
    <row r="108" spans="1:4" x14ac:dyDescent="0.25">
      <c r="A108" s="9" t="s">
        <v>688</v>
      </c>
      <c r="B108" s="10" t="s">
        <v>256</v>
      </c>
      <c r="C108" s="9" t="s">
        <v>257</v>
      </c>
      <c r="D108" s="15">
        <v>1699.33</v>
      </c>
    </row>
    <row r="109" spans="1:4" x14ac:dyDescent="0.25">
      <c r="A109" s="9" t="s">
        <v>688</v>
      </c>
      <c r="B109" s="10" t="s">
        <v>258</v>
      </c>
      <c r="C109" s="9" t="s">
        <v>259</v>
      </c>
      <c r="D109" s="15">
        <v>146.26</v>
      </c>
    </row>
    <row r="110" spans="1:4" x14ac:dyDescent="0.25">
      <c r="A110" s="9" t="s">
        <v>688</v>
      </c>
      <c r="B110" s="10" t="s">
        <v>260</v>
      </c>
      <c r="C110" s="9" t="s">
        <v>261</v>
      </c>
      <c r="D110" s="15">
        <v>146.26</v>
      </c>
    </row>
    <row r="111" spans="1:4" x14ac:dyDescent="0.25">
      <c r="A111" s="9" t="s">
        <v>688</v>
      </c>
      <c r="B111" s="10" t="s">
        <v>262</v>
      </c>
      <c r="C111" s="9" t="s">
        <v>263</v>
      </c>
      <c r="D111" s="15">
        <v>1699.33</v>
      </c>
    </row>
    <row r="112" spans="1:4" x14ac:dyDescent="0.25">
      <c r="A112" s="9" t="s">
        <v>688</v>
      </c>
      <c r="B112" s="10" t="s">
        <v>264</v>
      </c>
      <c r="C112" s="9" t="s">
        <v>265</v>
      </c>
      <c r="D112" s="15">
        <v>835.28</v>
      </c>
    </row>
    <row r="113" spans="1:4" x14ac:dyDescent="0.25">
      <c r="A113" s="9" t="s">
        <v>688</v>
      </c>
      <c r="B113" s="10" t="s">
        <v>266</v>
      </c>
      <c r="C113" s="9" t="s">
        <v>267</v>
      </c>
      <c r="D113" s="15">
        <v>1699.33</v>
      </c>
    </row>
    <row r="114" spans="1:4" x14ac:dyDescent="0.25">
      <c r="A114" s="9" t="s">
        <v>688</v>
      </c>
      <c r="B114" s="10" t="s">
        <v>268</v>
      </c>
      <c r="C114" s="9" t="s">
        <v>269</v>
      </c>
      <c r="D114" s="15">
        <v>1699.33</v>
      </c>
    </row>
    <row r="115" spans="1:4" x14ac:dyDescent="0.25">
      <c r="A115" s="9" t="s">
        <v>688</v>
      </c>
      <c r="B115" s="10" t="s">
        <v>270</v>
      </c>
      <c r="C115" s="9" t="s">
        <v>271</v>
      </c>
      <c r="D115" s="15">
        <v>835.28</v>
      </c>
    </row>
    <row r="116" spans="1:4" x14ac:dyDescent="0.25">
      <c r="A116" s="9" t="s">
        <v>688</v>
      </c>
      <c r="B116" s="10" t="s">
        <v>272</v>
      </c>
      <c r="C116" s="9" t="s">
        <v>273</v>
      </c>
      <c r="D116" s="15">
        <v>268.36</v>
      </c>
    </row>
    <row r="117" spans="1:4" x14ac:dyDescent="0.25">
      <c r="A117" s="9" t="s">
        <v>688</v>
      </c>
      <c r="B117" s="10" t="s">
        <v>274</v>
      </c>
      <c r="C117" s="9" t="s">
        <v>275</v>
      </c>
      <c r="D117" s="15">
        <v>134.18</v>
      </c>
    </row>
    <row r="118" spans="1:4" x14ac:dyDescent="0.25">
      <c r="A118" s="9" t="s">
        <v>688</v>
      </c>
      <c r="B118" s="10" t="s">
        <v>276</v>
      </c>
      <c r="C118" s="9" t="s">
        <v>277</v>
      </c>
      <c r="D118" s="15">
        <v>1536.38</v>
      </c>
    </row>
    <row r="119" spans="1:4" x14ac:dyDescent="0.25">
      <c r="A119" s="9" t="s">
        <v>688</v>
      </c>
      <c r="B119" s="10" t="s">
        <v>278</v>
      </c>
      <c r="C119" s="9" t="s">
        <v>279</v>
      </c>
      <c r="D119" s="15">
        <v>835.28</v>
      </c>
    </row>
    <row r="120" spans="1:4" x14ac:dyDescent="0.25">
      <c r="A120" s="9" t="s">
        <v>688</v>
      </c>
      <c r="B120" s="10" t="s">
        <v>280</v>
      </c>
      <c r="C120" s="9" t="s">
        <v>281</v>
      </c>
      <c r="D120" s="15">
        <v>835.28</v>
      </c>
    </row>
    <row r="121" spans="1:4" x14ac:dyDescent="0.25">
      <c r="A121" s="9" t="s">
        <v>688</v>
      </c>
      <c r="B121" s="10" t="s">
        <v>284</v>
      </c>
      <c r="C121" s="9" t="s">
        <v>285</v>
      </c>
      <c r="D121" s="15">
        <v>432.74</v>
      </c>
    </row>
    <row r="122" spans="1:4" x14ac:dyDescent="0.25">
      <c r="A122" s="9" t="s">
        <v>688</v>
      </c>
      <c r="B122" s="10" t="s">
        <v>286</v>
      </c>
      <c r="C122" s="9" t="s">
        <v>287</v>
      </c>
      <c r="D122" s="15">
        <v>1699.33</v>
      </c>
    </row>
    <row r="123" spans="1:4" x14ac:dyDescent="0.25">
      <c r="A123" s="9" t="s">
        <v>688</v>
      </c>
      <c r="B123" s="10" t="s">
        <v>290</v>
      </c>
      <c r="C123" s="9" t="s">
        <v>291</v>
      </c>
      <c r="D123" s="15">
        <v>835.28</v>
      </c>
    </row>
    <row r="124" spans="1:4" x14ac:dyDescent="0.25">
      <c r="A124" s="9" t="s">
        <v>688</v>
      </c>
      <c r="B124" s="10" t="s">
        <v>292</v>
      </c>
      <c r="C124" s="9" t="s">
        <v>293</v>
      </c>
      <c r="D124" s="15">
        <v>499.83</v>
      </c>
    </row>
    <row r="125" spans="1:4" x14ac:dyDescent="0.25">
      <c r="A125" s="9" t="s">
        <v>688</v>
      </c>
      <c r="B125" s="10" t="s">
        <v>294</v>
      </c>
      <c r="C125" s="9" t="s">
        <v>295</v>
      </c>
      <c r="D125" s="15">
        <v>1536.38</v>
      </c>
    </row>
    <row r="126" spans="1:4" x14ac:dyDescent="0.25">
      <c r="A126" s="9" t="s">
        <v>688</v>
      </c>
      <c r="B126" s="10" t="s">
        <v>296</v>
      </c>
      <c r="C126" s="9" t="s">
        <v>297</v>
      </c>
      <c r="D126" s="15">
        <v>835.28</v>
      </c>
    </row>
    <row r="127" spans="1:4" x14ac:dyDescent="0.25">
      <c r="A127" s="9" t="s">
        <v>688</v>
      </c>
      <c r="B127" s="10" t="s">
        <v>300</v>
      </c>
      <c r="C127" s="9" t="s">
        <v>301</v>
      </c>
      <c r="D127" s="15">
        <v>835.28</v>
      </c>
    </row>
    <row r="128" spans="1:4" x14ac:dyDescent="0.25">
      <c r="A128" s="9" t="s">
        <v>688</v>
      </c>
      <c r="B128" s="10" t="s">
        <v>302</v>
      </c>
      <c r="C128" s="9" t="s">
        <v>303</v>
      </c>
      <c r="D128" s="15">
        <v>835.28</v>
      </c>
    </row>
    <row r="129" spans="1:4" x14ac:dyDescent="0.25">
      <c r="A129" s="9" t="s">
        <v>688</v>
      </c>
      <c r="B129" s="10" t="s">
        <v>304</v>
      </c>
      <c r="C129" s="9" t="s">
        <v>305</v>
      </c>
      <c r="D129" s="15">
        <v>365.65</v>
      </c>
    </row>
    <row r="130" spans="1:4" x14ac:dyDescent="0.25">
      <c r="A130" s="9" t="s">
        <v>688</v>
      </c>
      <c r="B130" s="10" t="s">
        <v>306</v>
      </c>
      <c r="C130" s="9" t="s">
        <v>307</v>
      </c>
      <c r="D130" s="15">
        <v>169.42</v>
      </c>
    </row>
    <row r="131" spans="1:4" x14ac:dyDescent="0.25">
      <c r="A131" s="9" t="s">
        <v>688</v>
      </c>
      <c r="B131" s="10" t="s">
        <v>308</v>
      </c>
      <c r="C131" s="9" t="s">
        <v>309</v>
      </c>
      <c r="D131" s="15">
        <v>566.91999999999996</v>
      </c>
    </row>
    <row r="132" spans="1:4" x14ac:dyDescent="0.25">
      <c r="A132" s="9" t="s">
        <v>688</v>
      </c>
      <c r="B132" s="10" t="s">
        <v>312</v>
      </c>
      <c r="C132" s="9" t="s">
        <v>313</v>
      </c>
      <c r="D132" s="15">
        <v>835.28</v>
      </c>
    </row>
    <row r="133" spans="1:4" x14ac:dyDescent="0.25">
      <c r="A133" s="9" t="s">
        <v>688</v>
      </c>
      <c r="B133" s="10" t="s">
        <v>314</v>
      </c>
      <c r="C133" s="9" t="s">
        <v>315</v>
      </c>
      <c r="D133" s="15">
        <v>3125.68</v>
      </c>
    </row>
    <row r="134" spans="1:4" x14ac:dyDescent="0.25">
      <c r="A134" s="9" t="s">
        <v>688</v>
      </c>
      <c r="B134" s="10" t="s">
        <v>316</v>
      </c>
      <c r="C134" s="9" t="s">
        <v>317</v>
      </c>
      <c r="D134" s="15">
        <v>169.42</v>
      </c>
    </row>
    <row r="135" spans="1:4" x14ac:dyDescent="0.25">
      <c r="A135" s="9" t="s">
        <v>688</v>
      </c>
      <c r="B135" s="10" t="s">
        <v>318</v>
      </c>
      <c r="C135" s="9" t="s">
        <v>319</v>
      </c>
      <c r="D135" s="15">
        <v>835.28</v>
      </c>
    </row>
    <row r="136" spans="1:4" x14ac:dyDescent="0.25">
      <c r="A136" s="9" t="s">
        <v>688</v>
      </c>
      <c r="B136" s="10" t="s">
        <v>320</v>
      </c>
      <c r="C136" s="9" t="s">
        <v>321</v>
      </c>
      <c r="D136" s="15">
        <v>1699.33</v>
      </c>
    </row>
    <row r="137" spans="1:4" x14ac:dyDescent="0.25">
      <c r="A137" s="9" t="s">
        <v>688</v>
      </c>
      <c r="B137" s="10" t="s">
        <v>322</v>
      </c>
      <c r="C137" s="9" t="s">
        <v>323</v>
      </c>
      <c r="D137" s="15">
        <v>817.16</v>
      </c>
    </row>
    <row r="138" spans="1:4" x14ac:dyDescent="0.25">
      <c r="A138" s="9" t="s">
        <v>688</v>
      </c>
      <c r="B138" s="10" t="s">
        <v>324</v>
      </c>
      <c r="C138" s="9" t="s">
        <v>325</v>
      </c>
      <c r="D138" s="15">
        <v>1402.2</v>
      </c>
    </row>
    <row r="139" spans="1:4" x14ac:dyDescent="0.25">
      <c r="A139" s="9" t="s">
        <v>688</v>
      </c>
      <c r="B139" s="10" t="s">
        <v>326</v>
      </c>
      <c r="C139" s="9" t="s">
        <v>327</v>
      </c>
      <c r="D139" s="15">
        <v>835.28</v>
      </c>
    </row>
    <row r="140" spans="1:4" x14ac:dyDescent="0.25">
      <c r="A140" s="9" t="s">
        <v>688</v>
      </c>
      <c r="B140" s="10" t="s">
        <v>328</v>
      </c>
      <c r="C140" s="9" t="s">
        <v>329</v>
      </c>
      <c r="D140" s="15">
        <v>835.28</v>
      </c>
    </row>
    <row r="141" spans="1:4" x14ac:dyDescent="0.25">
      <c r="A141" s="9" t="s">
        <v>688</v>
      </c>
      <c r="B141" s="10" t="s">
        <v>332</v>
      </c>
      <c r="C141" s="9" t="s">
        <v>333</v>
      </c>
      <c r="D141" s="15">
        <v>615.89</v>
      </c>
    </row>
    <row r="142" spans="1:4" x14ac:dyDescent="0.25">
      <c r="A142" s="9" t="s">
        <v>688</v>
      </c>
      <c r="B142" s="10" t="s">
        <v>334</v>
      </c>
      <c r="C142" s="9" t="s">
        <v>335</v>
      </c>
      <c r="D142" s="15">
        <v>835.28</v>
      </c>
    </row>
    <row r="143" spans="1:4" x14ac:dyDescent="0.25">
      <c r="A143" s="9" t="s">
        <v>688</v>
      </c>
      <c r="B143" s="10" t="s">
        <v>338</v>
      </c>
      <c r="C143" s="9" t="s">
        <v>339</v>
      </c>
      <c r="D143" s="15">
        <v>432.74</v>
      </c>
    </row>
    <row r="144" spans="1:4" x14ac:dyDescent="0.25">
      <c r="A144" s="9" t="s">
        <v>688</v>
      </c>
      <c r="B144" s="10" t="s">
        <v>340</v>
      </c>
      <c r="C144" s="9" t="s">
        <v>341</v>
      </c>
      <c r="D144" s="15">
        <v>835.28</v>
      </c>
    </row>
    <row r="145" spans="1:4" x14ac:dyDescent="0.25">
      <c r="A145" s="9" t="s">
        <v>688</v>
      </c>
      <c r="B145" s="10" t="s">
        <v>342</v>
      </c>
      <c r="C145" s="9" t="s">
        <v>343</v>
      </c>
      <c r="D145" s="15">
        <v>432.74</v>
      </c>
    </row>
    <row r="146" spans="1:4" x14ac:dyDescent="0.25">
      <c r="A146" s="9" t="s">
        <v>688</v>
      </c>
      <c r="B146" s="10" t="s">
        <v>346</v>
      </c>
      <c r="C146" s="9" t="s">
        <v>347</v>
      </c>
      <c r="D146" s="15">
        <v>835.28</v>
      </c>
    </row>
    <row r="147" spans="1:4" x14ac:dyDescent="0.25">
      <c r="A147" s="9" t="s">
        <v>688</v>
      </c>
      <c r="B147" s="10" t="s">
        <v>348</v>
      </c>
      <c r="C147" s="9" t="s">
        <v>349</v>
      </c>
      <c r="D147" s="15">
        <v>835.28</v>
      </c>
    </row>
    <row r="148" spans="1:4" x14ac:dyDescent="0.25">
      <c r="A148" s="9" t="s">
        <v>688</v>
      </c>
      <c r="B148" s="10" t="s">
        <v>350</v>
      </c>
      <c r="C148" s="9" t="s">
        <v>351</v>
      </c>
      <c r="D148" s="15">
        <v>835.28</v>
      </c>
    </row>
    <row r="149" spans="1:4" x14ac:dyDescent="0.25">
      <c r="A149" s="9" t="s">
        <v>688</v>
      </c>
      <c r="B149" s="10" t="s">
        <v>352</v>
      </c>
      <c r="C149" s="9" t="s">
        <v>353</v>
      </c>
      <c r="D149" s="15">
        <v>835.28</v>
      </c>
    </row>
    <row r="150" spans="1:4" x14ac:dyDescent="0.25">
      <c r="A150" s="9" t="s">
        <v>688</v>
      </c>
      <c r="B150" s="10" t="s">
        <v>354</v>
      </c>
      <c r="C150" s="9" t="s">
        <v>355</v>
      </c>
      <c r="D150" s="15">
        <v>835.28</v>
      </c>
    </row>
    <row r="151" spans="1:4" x14ac:dyDescent="0.25">
      <c r="A151" s="9" t="s">
        <v>688</v>
      </c>
      <c r="B151" s="10" t="s">
        <v>356</v>
      </c>
      <c r="C151" s="9" t="s">
        <v>357</v>
      </c>
      <c r="D151" s="15">
        <v>835.28</v>
      </c>
    </row>
    <row r="152" spans="1:4" x14ac:dyDescent="0.25">
      <c r="A152" s="9" t="s">
        <v>688</v>
      </c>
      <c r="B152" s="10" t="s">
        <v>358</v>
      </c>
      <c r="C152" s="9" t="s">
        <v>359</v>
      </c>
      <c r="D152" s="15">
        <v>835.28</v>
      </c>
    </row>
    <row r="153" spans="1:4" x14ac:dyDescent="0.25">
      <c r="A153" s="9" t="s">
        <v>688</v>
      </c>
      <c r="B153" s="10" t="s">
        <v>360</v>
      </c>
      <c r="C153" s="9" t="s">
        <v>361</v>
      </c>
      <c r="D153" s="15">
        <v>432.74</v>
      </c>
    </row>
    <row r="154" spans="1:4" x14ac:dyDescent="0.25">
      <c r="A154" s="9" t="s">
        <v>688</v>
      </c>
      <c r="B154" s="10" t="s">
        <v>362</v>
      </c>
      <c r="C154" s="9" t="s">
        <v>363</v>
      </c>
      <c r="D154" s="15">
        <v>169.42</v>
      </c>
    </row>
    <row r="155" spans="1:4" x14ac:dyDescent="0.25">
      <c r="A155" s="9" t="s">
        <v>688</v>
      </c>
      <c r="B155" s="10" t="s">
        <v>364</v>
      </c>
      <c r="C155" s="9" t="s">
        <v>365</v>
      </c>
      <c r="D155" s="15">
        <v>835.28</v>
      </c>
    </row>
    <row r="156" spans="1:4" x14ac:dyDescent="0.25">
      <c r="A156" s="9" t="s">
        <v>688</v>
      </c>
      <c r="B156" s="10" t="s">
        <v>366</v>
      </c>
      <c r="C156" s="9" t="s">
        <v>367</v>
      </c>
      <c r="D156" s="15">
        <v>835.28</v>
      </c>
    </row>
    <row r="157" spans="1:4" x14ac:dyDescent="0.25">
      <c r="A157" s="9" t="s">
        <v>688</v>
      </c>
      <c r="B157" s="10" t="s">
        <v>368</v>
      </c>
      <c r="C157" s="9" t="s">
        <v>369</v>
      </c>
      <c r="D157" s="15">
        <v>835.28</v>
      </c>
    </row>
    <row r="158" spans="1:4" x14ac:dyDescent="0.25">
      <c r="A158" s="9" t="s">
        <v>688</v>
      </c>
      <c r="B158" s="10" t="s">
        <v>370</v>
      </c>
      <c r="C158" s="9" t="s">
        <v>371</v>
      </c>
      <c r="D158" s="15">
        <v>835.28</v>
      </c>
    </row>
    <row r="159" spans="1:4" x14ac:dyDescent="0.25">
      <c r="A159" s="9" t="s">
        <v>688</v>
      </c>
      <c r="B159" s="10" t="s">
        <v>372</v>
      </c>
      <c r="C159" s="9" t="s">
        <v>373</v>
      </c>
      <c r="D159" s="15">
        <v>835.28</v>
      </c>
    </row>
    <row r="160" spans="1:4" x14ac:dyDescent="0.25">
      <c r="A160" s="9" t="s">
        <v>688</v>
      </c>
      <c r="B160" s="10" t="s">
        <v>376</v>
      </c>
      <c r="C160" s="9" t="s">
        <v>377</v>
      </c>
      <c r="D160" s="15">
        <v>566.91999999999996</v>
      </c>
    </row>
    <row r="161" spans="1:4" x14ac:dyDescent="0.25">
      <c r="A161" s="9" t="s">
        <v>688</v>
      </c>
      <c r="B161" s="10" t="s">
        <v>378</v>
      </c>
      <c r="C161" s="9" t="s">
        <v>379</v>
      </c>
      <c r="D161" s="15">
        <v>499.83</v>
      </c>
    </row>
    <row r="162" spans="1:4" x14ac:dyDescent="0.25">
      <c r="A162" s="9" t="s">
        <v>688</v>
      </c>
      <c r="B162" s="10" t="s">
        <v>380</v>
      </c>
      <c r="C162" s="9" t="s">
        <v>381</v>
      </c>
      <c r="D162" s="15">
        <v>768.19</v>
      </c>
    </row>
    <row r="163" spans="1:4" x14ac:dyDescent="0.25">
      <c r="A163" s="9" t="s">
        <v>688</v>
      </c>
      <c r="B163" s="10" t="s">
        <v>382</v>
      </c>
      <c r="C163" s="9" t="s">
        <v>383</v>
      </c>
      <c r="D163" s="15">
        <v>835.28</v>
      </c>
    </row>
    <row r="164" spans="1:4" x14ac:dyDescent="0.25">
      <c r="A164" s="9" t="s">
        <v>688</v>
      </c>
      <c r="B164" s="10" t="s">
        <v>384</v>
      </c>
      <c r="C164" s="9" t="s">
        <v>385</v>
      </c>
      <c r="D164" s="15">
        <v>1699.33</v>
      </c>
    </row>
    <row r="165" spans="1:4" x14ac:dyDescent="0.25">
      <c r="A165" s="9" t="s">
        <v>688</v>
      </c>
      <c r="B165" s="10" t="s">
        <v>386</v>
      </c>
      <c r="C165" s="9" t="s">
        <v>387</v>
      </c>
      <c r="D165" s="15">
        <v>835.28</v>
      </c>
    </row>
    <row r="166" spans="1:4" x14ac:dyDescent="0.25">
      <c r="A166" s="9" t="s">
        <v>688</v>
      </c>
      <c r="B166" s="10" t="s">
        <v>388</v>
      </c>
      <c r="C166" s="9" t="s">
        <v>389</v>
      </c>
      <c r="D166" s="15">
        <v>835.28</v>
      </c>
    </row>
    <row r="167" spans="1:4" x14ac:dyDescent="0.25">
      <c r="A167" s="9" t="s">
        <v>688</v>
      </c>
      <c r="B167" s="10" t="s">
        <v>390</v>
      </c>
      <c r="C167" s="9" t="s">
        <v>391</v>
      </c>
      <c r="D167" s="15">
        <v>566.91999999999996</v>
      </c>
    </row>
    <row r="168" spans="1:4" x14ac:dyDescent="0.25">
      <c r="A168" s="9" t="s">
        <v>688</v>
      </c>
      <c r="B168" s="10" t="s">
        <v>392</v>
      </c>
      <c r="C168" s="9" t="s">
        <v>393</v>
      </c>
      <c r="D168" s="15">
        <v>220.14</v>
      </c>
    </row>
    <row r="169" spans="1:4" x14ac:dyDescent="0.25">
      <c r="A169" s="9" t="s">
        <v>688</v>
      </c>
      <c r="B169" s="10" t="s">
        <v>396</v>
      </c>
      <c r="C169" s="9" t="s">
        <v>397</v>
      </c>
      <c r="D169" s="15">
        <v>835.28</v>
      </c>
    </row>
    <row r="170" spans="1:4" x14ac:dyDescent="0.25">
      <c r="A170" s="9" t="s">
        <v>688</v>
      </c>
      <c r="B170" s="10" t="s">
        <v>400</v>
      </c>
      <c r="C170" s="9" t="s">
        <v>401</v>
      </c>
      <c r="D170" s="15">
        <v>128.59</v>
      </c>
    </row>
    <row r="171" spans="1:4" x14ac:dyDescent="0.25">
      <c r="A171" s="9" t="s">
        <v>688</v>
      </c>
      <c r="B171" s="10" t="s">
        <v>408</v>
      </c>
      <c r="C171" s="9" t="s">
        <v>409</v>
      </c>
      <c r="D171" s="15">
        <v>169.42</v>
      </c>
    </row>
    <row r="172" spans="1:4" x14ac:dyDescent="0.25">
      <c r="A172" s="9" t="s">
        <v>688</v>
      </c>
      <c r="B172" s="10" t="s">
        <v>414</v>
      </c>
      <c r="C172" s="9" t="s">
        <v>415</v>
      </c>
      <c r="D172" s="15">
        <v>432.74</v>
      </c>
    </row>
    <row r="173" spans="1:4" x14ac:dyDescent="0.25">
      <c r="A173" s="9" t="s">
        <v>688</v>
      </c>
      <c r="B173" s="10" t="s">
        <v>416</v>
      </c>
      <c r="C173" s="9" t="s">
        <v>417</v>
      </c>
      <c r="D173" s="15">
        <v>768.19</v>
      </c>
    </row>
    <row r="174" spans="1:4" x14ac:dyDescent="0.25">
      <c r="A174" s="9" t="s">
        <v>688</v>
      </c>
      <c r="B174" s="10" t="s">
        <v>418</v>
      </c>
      <c r="C174" s="9" t="s">
        <v>419</v>
      </c>
      <c r="D174" s="15">
        <v>365.65</v>
      </c>
    </row>
    <row r="175" spans="1:4" x14ac:dyDescent="0.25">
      <c r="A175" s="9" t="s">
        <v>688</v>
      </c>
      <c r="B175" s="10" t="s">
        <v>420</v>
      </c>
      <c r="C175" s="9" t="s">
        <v>421</v>
      </c>
      <c r="D175" s="15">
        <v>615.89</v>
      </c>
    </row>
    <row r="176" spans="1:4" x14ac:dyDescent="0.25">
      <c r="A176" s="9" t="s">
        <v>688</v>
      </c>
      <c r="B176" s="10" t="s">
        <v>426</v>
      </c>
      <c r="C176" s="9" t="s">
        <v>427</v>
      </c>
      <c r="D176" s="15">
        <v>835.28</v>
      </c>
    </row>
    <row r="177" spans="1:4" x14ac:dyDescent="0.25">
      <c r="A177" s="9" t="s">
        <v>688</v>
      </c>
      <c r="B177" s="10" t="s">
        <v>432</v>
      </c>
      <c r="C177" s="9" t="s">
        <v>433</v>
      </c>
      <c r="D177" s="15">
        <v>768.19</v>
      </c>
    </row>
    <row r="178" spans="1:4" x14ac:dyDescent="0.25">
      <c r="A178" s="9" t="s">
        <v>688</v>
      </c>
      <c r="B178" s="10" t="s">
        <v>434</v>
      </c>
      <c r="C178" s="9" t="s">
        <v>435</v>
      </c>
      <c r="D178" s="15">
        <v>169.42</v>
      </c>
    </row>
    <row r="179" spans="1:4" x14ac:dyDescent="0.25">
      <c r="A179" s="9" t="s">
        <v>688</v>
      </c>
      <c r="B179" s="10" t="s">
        <v>440</v>
      </c>
      <c r="C179" s="9" t="s">
        <v>441</v>
      </c>
      <c r="D179" s="15">
        <v>1699.33</v>
      </c>
    </row>
    <row r="180" spans="1:4" x14ac:dyDescent="0.25">
      <c r="A180" s="9" t="s">
        <v>688</v>
      </c>
      <c r="B180" s="10" t="s">
        <v>442</v>
      </c>
      <c r="C180" s="9" t="s">
        <v>443</v>
      </c>
      <c r="D180" s="15">
        <v>768.19</v>
      </c>
    </row>
    <row r="181" spans="1:4" x14ac:dyDescent="0.25">
      <c r="A181" s="9" t="s">
        <v>688</v>
      </c>
      <c r="B181" s="10" t="s">
        <v>448</v>
      </c>
      <c r="C181" s="9" t="s">
        <v>449</v>
      </c>
      <c r="D181" s="15">
        <v>566.91999999999996</v>
      </c>
    </row>
    <row r="182" spans="1:4" x14ac:dyDescent="0.25">
      <c r="A182" s="9" t="s">
        <v>688</v>
      </c>
      <c r="B182" s="10" t="s">
        <v>452</v>
      </c>
      <c r="C182" s="9" t="s">
        <v>453</v>
      </c>
      <c r="D182" s="15">
        <v>219.39</v>
      </c>
    </row>
    <row r="183" spans="1:4" x14ac:dyDescent="0.25">
      <c r="A183" s="9" t="s">
        <v>688</v>
      </c>
      <c r="B183" s="10" t="s">
        <v>454</v>
      </c>
      <c r="C183" s="9" t="s">
        <v>455</v>
      </c>
      <c r="D183" s="15">
        <v>835.28</v>
      </c>
    </row>
    <row r="184" spans="1:4" x14ac:dyDescent="0.25">
      <c r="A184" s="9" t="s">
        <v>688</v>
      </c>
      <c r="B184" s="10" t="s">
        <v>456</v>
      </c>
      <c r="C184" s="9" t="s">
        <v>457</v>
      </c>
      <c r="D184" s="15">
        <v>768.19</v>
      </c>
    </row>
    <row r="185" spans="1:4" x14ac:dyDescent="0.25">
      <c r="A185" s="9" t="s">
        <v>688</v>
      </c>
      <c r="B185" s="10" t="s">
        <v>458</v>
      </c>
      <c r="C185" s="9" t="s">
        <v>459</v>
      </c>
      <c r="D185" s="15">
        <v>701.1</v>
      </c>
    </row>
    <row r="186" spans="1:4" x14ac:dyDescent="0.25">
      <c r="A186" s="9" t="s">
        <v>688</v>
      </c>
      <c r="B186" s="10" t="s">
        <v>460</v>
      </c>
      <c r="C186" s="9" t="s">
        <v>461</v>
      </c>
      <c r="D186" s="15">
        <v>835.28</v>
      </c>
    </row>
    <row r="187" spans="1:4" x14ac:dyDescent="0.25">
      <c r="A187" s="9" t="s">
        <v>688</v>
      </c>
      <c r="B187" s="10" t="s">
        <v>462</v>
      </c>
      <c r="C187" s="9" t="s">
        <v>463</v>
      </c>
      <c r="D187" s="15">
        <v>835.28</v>
      </c>
    </row>
    <row r="188" spans="1:4" x14ac:dyDescent="0.25">
      <c r="A188" s="9" t="s">
        <v>688</v>
      </c>
      <c r="B188" s="10" t="s">
        <v>464</v>
      </c>
      <c r="C188" s="9" t="s">
        <v>465</v>
      </c>
      <c r="D188" s="15">
        <v>146.26</v>
      </c>
    </row>
    <row r="189" spans="1:4" x14ac:dyDescent="0.25">
      <c r="A189" s="9" t="s">
        <v>688</v>
      </c>
      <c r="B189" s="10" t="s">
        <v>474</v>
      </c>
      <c r="C189" s="9" t="s">
        <v>475</v>
      </c>
      <c r="D189" s="15">
        <v>835.28</v>
      </c>
    </row>
    <row r="190" spans="1:4" x14ac:dyDescent="0.25">
      <c r="A190" s="9" t="s">
        <v>688</v>
      </c>
      <c r="B190" s="10" t="s">
        <v>476</v>
      </c>
      <c r="C190" s="9" t="s">
        <v>477</v>
      </c>
      <c r="D190" s="15">
        <v>146.26</v>
      </c>
    </row>
    <row r="191" spans="1:4" x14ac:dyDescent="0.25">
      <c r="A191" s="9" t="s">
        <v>688</v>
      </c>
      <c r="B191" s="10" t="s">
        <v>478</v>
      </c>
      <c r="C191" s="9" t="s">
        <v>479</v>
      </c>
      <c r="D191" s="15">
        <v>487.75</v>
      </c>
    </row>
    <row r="192" spans="1:4" x14ac:dyDescent="0.25">
      <c r="A192" s="9" t="s">
        <v>688</v>
      </c>
      <c r="B192" s="10" t="s">
        <v>482</v>
      </c>
      <c r="C192" s="9" t="s">
        <v>483</v>
      </c>
      <c r="D192" s="15">
        <v>762.15</v>
      </c>
    </row>
    <row r="193" spans="1:4" x14ac:dyDescent="0.25">
      <c r="A193" s="9" t="s">
        <v>688</v>
      </c>
      <c r="B193" s="10" t="s">
        <v>484</v>
      </c>
      <c r="C193" s="9" t="s">
        <v>485</v>
      </c>
      <c r="D193" s="15">
        <v>73.13</v>
      </c>
    </row>
    <row r="194" spans="1:4" x14ac:dyDescent="0.25">
      <c r="A194" s="9" t="s">
        <v>688</v>
      </c>
      <c r="B194" s="10" t="s">
        <v>488</v>
      </c>
      <c r="C194" s="9" t="s">
        <v>489</v>
      </c>
      <c r="D194" s="15">
        <v>201.27</v>
      </c>
    </row>
    <row r="195" spans="1:4" x14ac:dyDescent="0.25">
      <c r="A195" s="9" t="s">
        <v>688</v>
      </c>
      <c r="B195" s="10" t="s">
        <v>490</v>
      </c>
      <c r="C195" s="9" t="s">
        <v>491</v>
      </c>
      <c r="D195" s="15">
        <v>169.42</v>
      </c>
    </row>
    <row r="196" spans="1:4" x14ac:dyDescent="0.25">
      <c r="A196" s="9" t="s">
        <v>688</v>
      </c>
      <c r="B196" s="10" t="s">
        <v>494</v>
      </c>
      <c r="C196" s="9" t="s">
        <v>495</v>
      </c>
      <c r="D196" s="15">
        <v>169.42</v>
      </c>
    </row>
    <row r="197" spans="1:4" x14ac:dyDescent="0.25">
      <c r="A197" s="9" t="s">
        <v>688</v>
      </c>
      <c r="B197" s="10" t="s">
        <v>500</v>
      </c>
      <c r="C197" s="9" t="s">
        <v>501</v>
      </c>
      <c r="D197" s="15">
        <v>169.42</v>
      </c>
    </row>
    <row r="198" spans="1:4" x14ac:dyDescent="0.25">
      <c r="A198" s="9" t="s">
        <v>688</v>
      </c>
      <c r="B198" s="10" t="s">
        <v>502</v>
      </c>
      <c r="C198" s="9" t="s">
        <v>503</v>
      </c>
      <c r="D198" s="15">
        <v>402.54</v>
      </c>
    </row>
    <row r="199" spans="1:4" x14ac:dyDescent="0.25">
      <c r="A199" s="9" t="s">
        <v>688</v>
      </c>
      <c r="B199" s="10" t="s">
        <v>504</v>
      </c>
      <c r="C199" s="9" t="s">
        <v>505</v>
      </c>
      <c r="D199" s="15">
        <v>865.48</v>
      </c>
    </row>
    <row r="200" spans="1:4" x14ac:dyDescent="0.25">
      <c r="A200" s="9" t="s">
        <v>688</v>
      </c>
      <c r="B200" s="10" t="s">
        <v>510</v>
      </c>
      <c r="C200" s="9" t="s">
        <v>511</v>
      </c>
      <c r="D200" s="15">
        <v>134.18</v>
      </c>
    </row>
    <row r="201" spans="1:4" x14ac:dyDescent="0.25">
      <c r="A201" s="9" t="s">
        <v>688</v>
      </c>
      <c r="B201" s="10" t="s">
        <v>512</v>
      </c>
      <c r="C201" s="9" t="s">
        <v>513</v>
      </c>
      <c r="D201" s="15">
        <v>203.31</v>
      </c>
    </row>
    <row r="202" spans="1:4" x14ac:dyDescent="0.25">
      <c r="A202" s="9" t="s">
        <v>1006</v>
      </c>
      <c r="B202" s="10" t="s">
        <v>88</v>
      </c>
      <c r="C202" s="9" t="s">
        <v>89</v>
      </c>
      <c r="D202" s="15">
        <v>189.02</v>
      </c>
    </row>
    <row r="203" spans="1:4" x14ac:dyDescent="0.25">
      <c r="A203" s="9" t="s">
        <v>1006</v>
      </c>
      <c r="B203" s="10" t="s">
        <v>92</v>
      </c>
      <c r="C203" s="9" t="s">
        <v>93</v>
      </c>
      <c r="D203" s="15">
        <v>722.64</v>
      </c>
    </row>
    <row r="204" spans="1:4" x14ac:dyDescent="0.25">
      <c r="A204" s="9" t="s">
        <v>1006</v>
      </c>
      <c r="B204" s="10" t="s">
        <v>104</v>
      </c>
      <c r="C204" s="9" t="s">
        <v>105</v>
      </c>
      <c r="D204" s="15">
        <v>787.28</v>
      </c>
    </row>
    <row r="205" spans="1:4" x14ac:dyDescent="0.25">
      <c r="A205" s="9" t="s">
        <v>1006</v>
      </c>
      <c r="B205" s="10" t="s">
        <v>108</v>
      </c>
      <c r="C205" s="9" t="s">
        <v>109</v>
      </c>
      <c r="D205" s="15">
        <v>593.36</v>
      </c>
    </row>
    <row r="206" spans="1:4" x14ac:dyDescent="0.25">
      <c r="A206" s="9" t="s">
        <v>1006</v>
      </c>
      <c r="B206" s="10" t="s">
        <v>112</v>
      </c>
      <c r="C206" s="9" t="s">
        <v>113</v>
      </c>
      <c r="D206" s="15">
        <v>189.02</v>
      </c>
    </row>
    <row r="207" spans="1:4" x14ac:dyDescent="0.25">
      <c r="A207" s="9" t="s">
        <v>1006</v>
      </c>
      <c r="B207" s="10" t="s">
        <v>114</v>
      </c>
      <c r="C207" s="9" t="s">
        <v>115</v>
      </c>
      <c r="D207" s="15">
        <v>189.02</v>
      </c>
    </row>
    <row r="208" spans="1:4" x14ac:dyDescent="0.25">
      <c r="A208" s="9" t="s">
        <v>1006</v>
      </c>
      <c r="B208" s="10" t="s">
        <v>120</v>
      </c>
      <c r="C208" s="9" t="s">
        <v>121</v>
      </c>
      <c r="D208" s="15">
        <v>142.46</v>
      </c>
    </row>
    <row r="209" spans="1:4" x14ac:dyDescent="0.25">
      <c r="A209" s="9" t="s">
        <v>1006</v>
      </c>
      <c r="B209" s="10" t="s">
        <v>124</v>
      </c>
      <c r="C209" s="9" t="s">
        <v>125</v>
      </c>
      <c r="D209" s="15">
        <v>33.82</v>
      </c>
    </row>
    <row r="210" spans="1:4" x14ac:dyDescent="0.25">
      <c r="A210" s="9" t="s">
        <v>1006</v>
      </c>
      <c r="B210" s="10" t="s">
        <v>132</v>
      </c>
      <c r="C210" s="9" t="s">
        <v>133</v>
      </c>
      <c r="D210" s="15">
        <v>189.02</v>
      </c>
    </row>
    <row r="211" spans="1:4" x14ac:dyDescent="0.25">
      <c r="A211" s="9" t="s">
        <v>1006</v>
      </c>
      <c r="B211" s="10" t="s">
        <v>134</v>
      </c>
      <c r="C211" s="9" t="s">
        <v>135</v>
      </c>
      <c r="D211" s="15">
        <v>33.82</v>
      </c>
    </row>
    <row r="212" spans="1:4" x14ac:dyDescent="0.25">
      <c r="A212" s="9" t="s">
        <v>1006</v>
      </c>
      <c r="B212" s="10" t="s">
        <v>136</v>
      </c>
      <c r="C212" s="9" t="s">
        <v>137</v>
      </c>
      <c r="D212" s="15">
        <v>67.64</v>
      </c>
    </row>
    <row r="213" spans="1:4" x14ac:dyDescent="0.25">
      <c r="A213" s="9" t="s">
        <v>1006</v>
      </c>
      <c r="B213" s="10" t="s">
        <v>140</v>
      </c>
      <c r="C213" s="9" t="s">
        <v>141</v>
      </c>
      <c r="D213" s="15">
        <v>173.5</v>
      </c>
    </row>
    <row r="214" spans="1:4" x14ac:dyDescent="0.25">
      <c r="A214" s="9" t="s">
        <v>1006</v>
      </c>
      <c r="B214" s="10" t="s">
        <v>142</v>
      </c>
      <c r="C214" s="9" t="s">
        <v>143</v>
      </c>
      <c r="D214" s="15">
        <v>49.34</v>
      </c>
    </row>
    <row r="215" spans="1:4" x14ac:dyDescent="0.25">
      <c r="A215" s="9" t="s">
        <v>1006</v>
      </c>
      <c r="B215" s="10" t="s">
        <v>144</v>
      </c>
      <c r="C215" s="9" t="s">
        <v>145</v>
      </c>
      <c r="D215" s="15">
        <v>787.28</v>
      </c>
    </row>
    <row r="216" spans="1:4" x14ac:dyDescent="0.25">
      <c r="A216" s="9" t="s">
        <v>1006</v>
      </c>
      <c r="B216" s="10" t="s">
        <v>146</v>
      </c>
      <c r="C216" s="9" t="s">
        <v>147</v>
      </c>
      <c r="D216" s="15">
        <v>787.28</v>
      </c>
    </row>
    <row r="217" spans="1:4" x14ac:dyDescent="0.25">
      <c r="A217" s="9" t="s">
        <v>1006</v>
      </c>
      <c r="B217" s="10" t="s">
        <v>148</v>
      </c>
      <c r="C217" s="9" t="s">
        <v>149</v>
      </c>
      <c r="D217" s="15">
        <v>189.02</v>
      </c>
    </row>
    <row r="218" spans="1:4" x14ac:dyDescent="0.25">
      <c r="A218" s="9" t="s">
        <v>1006</v>
      </c>
      <c r="B218" s="10" t="s">
        <v>156</v>
      </c>
      <c r="C218" s="9" t="s">
        <v>157</v>
      </c>
      <c r="D218" s="15">
        <v>33.82</v>
      </c>
    </row>
    <row r="219" spans="1:4" x14ac:dyDescent="0.25">
      <c r="A219" s="9" t="s">
        <v>1006</v>
      </c>
      <c r="B219" s="10" t="s">
        <v>158</v>
      </c>
      <c r="C219" s="9" t="s">
        <v>159</v>
      </c>
      <c r="D219" s="15">
        <v>189.02</v>
      </c>
    </row>
    <row r="220" spans="1:4" x14ac:dyDescent="0.25">
      <c r="A220" s="9" t="s">
        <v>1006</v>
      </c>
      <c r="B220" s="10" t="s">
        <v>162</v>
      </c>
      <c r="C220" s="9" t="s">
        <v>163</v>
      </c>
      <c r="D220" s="15">
        <v>62.08</v>
      </c>
    </row>
    <row r="221" spans="1:4" x14ac:dyDescent="0.25">
      <c r="A221" s="9" t="s">
        <v>1006</v>
      </c>
      <c r="B221" s="10" t="s">
        <v>164</v>
      </c>
      <c r="C221" s="9" t="s">
        <v>165</v>
      </c>
      <c r="D221" s="15">
        <v>70.44</v>
      </c>
    </row>
    <row r="222" spans="1:4" x14ac:dyDescent="0.25">
      <c r="A222" s="9" t="s">
        <v>1006</v>
      </c>
      <c r="B222" s="10" t="s">
        <v>166</v>
      </c>
      <c r="C222" s="9" t="s">
        <v>167</v>
      </c>
      <c r="D222" s="15">
        <v>787.28</v>
      </c>
    </row>
    <row r="223" spans="1:4" x14ac:dyDescent="0.25">
      <c r="A223" s="9" t="s">
        <v>1006</v>
      </c>
      <c r="B223" s="10" t="s">
        <v>170</v>
      </c>
      <c r="C223" s="9" t="s">
        <v>171</v>
      </c>
      <c r="D223" s="15">
        <v>787.28</v>
      </c>
    </row>
    <row r="224" spans="1:4" x14ac:dyDescent="0.25">
      <c r="A224" s="9" t="s">
        <v>1006</v>
      </c>
      <c r="B224" s="10" t="s">
        <v>174</v>
      </c>
      <c r="C224" s="9" t="s">
        <v>175</v>
      </c>
      <c r="D224" s="15">
        <v>114.2</v>
      </c>
    </row>
    <row r="225" spans="1:4" x14ac:dyDescent="0.25">
      <c r="A225" s="9" t="s">
        <v>1006</v>
      </c>
      <c r="B225" s="10" t="s">
        <v>176</v>
      </c>
      <c r="C225" s="9" t="s">
        <v>177</v>
      </c>
      <c r="D225" s="15">
        <v>189.02</v>
      </c>
    </row>
    <row r="226" spans="1:4" x14ac:dyDescent="0.25">
      <c r="A226" s="9" t="s">
        <v>1006</v>
      </c>
      <c r="B226" s="10" t="s">
        <v>178</v>
      </c>
      <c r="C226" s="9" t="s">
        <v>179</v>
      </c>
      <c r="D226" s="15">
        <v>95.9</v>
      </c>
    </row>
    <row r="227" spans="1:4" x14ac:dyDescent="0.25">
      <c r="A227" s="9" t="s">
        <v>1006</v>
      </c>
      <c r="B227" s="10" t="s">
        <v>188</v>
      </c>
      <c r="C227" s="9" t="s">
        <v>189</v>
      </c>
      <c r="D227" s="15">
        <v>787.28</v>
      </c>
    </row>
    <row r="228" spans="1:4" x14ac:dyDescent="0.25">
      <c r="A228" s="9" t="s">
        <v>1006</v>
      </c>
      <c r="B228" s="10" t="s">
        <v>190</v>
      </c>
      <c r="C228" s="9" t="s">
        <v>191</v>
      </c>
      <c r="D228" s="15">
        <v>49.34</v>
      </c>
    </row>
    <row r="229" spans="1:4" x14ac:dyDescent="0.25">
      <c r="A229" s="9" t="s">
        <v>1006</v>
      </c>
      <c r="B229" s="10" t="s">
        <v>196</v>
      </c>
      <c r="C229" s="9" t="s">
        <v>197</v>
      </c>
      <c r="D229" s="15">
        <v>189.02</v>
      </c>
    </row>
    <row r="230" spans="1:4" x14ac:dyDescent="0.25">
      <c r="A230" s="9" t="s">
        <v>1006</v>
      </c>
      <c r="B230" s="10" t="s">
        <v>202</v>
      </c>
      <c r="C230" s="9" t="s">
        <v>203</v>
      </c>
      <c r="D230" s="15">
        <v>95.9</v>
      </c>
    </row>
    <row r="231" spans="1:4" x14ac:dyDescent="0.25">
      <c r="A231" s="9" t="s">
        <v>1006</v>
      </c>
      <c r="B231" s="10" t="s">
        <v>204</v>
      </c>
      <c r="C231" s="9" t="s">
        <v>205</v>
      </c>
      <c r="D231" s="15">
        <v>189.02</v>
      </c>
    </row>
    <row r="232" spans="1:4" x14ac:dyDescent="0.25">
      <c r="A232" s="9" t="s">
        <v>1006</v>
      </c>
      <c r="B232" s="10" t="s">
        <v>206</v>
      </c>
      <c r="C232" s="9" t="s">
        <v>207</v>
      </c>
      <c r="D232" s="15">
        <v>189.02</v>
      </c>
    </row>
    <row r="233" spans="1:4" x14ac:dyDescent="0.25">
      <c r="A233" s="9" t="s">
        <v>1006</v>
      </c>
      <c r="B233" s="10" t="s">
        <v>210</v>
      </c>
      <c r="C233" s="9" t="s">
        <v>211</v>
      </c>
      <c r="D233" s="15">
        <v>95.9</v>
      </c>
    </row>
    <row r="234" spans="1:4" x14ac:dyDescent="0.25">
      <c r="A234" s="9" t="s">
        <v>1006</v>
      </c>
      <c r="B234" s="10" t="s">
        <v>212</v>
      </c>
      <c r="C234" s="9" t="s">
        <v>213</v>
      </c>
      <c r="D234" s="15">
        <v>157.97999999999999</v>
      </c>
    </row>
    <row r="235" spans="1:4" x14ac:dyDescent="0.25">
      <c r="A235" s="9" t="s">
        <v>1006</v>
      </c>
      <c r="B235" s="10" t="s">
        <v>216</v>
      </c>
      <c r="C235" s="9" t="s">
        <v>217</v>
      </c>
      <c r="D235" s="15">
        <v>787.28</v>
      </c>
    </row>
    <row r="236" spans="1:4" x14ac:dyDescent="0.25">
      <c r="A236" s="9" t="s">
        <v>1006</v>
      </c>
      <c r="B236" s="10" t="s">
        <v>218</v>
      </c>
      <c r="C236" s="9" t="s">
        <v>219</v>
      </c>
      <c r="D236" s="15">
        <v>126.94</v>
      </c>
    </row>
    <row r="237" spans="1:4" x14ac:dyDescent="0.25">
      <c r="A237" s="9" t="s">
        <v>1006</v>
      </c>
      <c r="B237" s="10" t="s">
        <v>226</v>
      </c>
      <c r="C237" s="9" t="s">
        <v>227</v>
      </c>
      <c r="D237" s="15">
        <v>33.82</v>
      </c>
    </row>
    <row r="238" spans="1:4" x14ac:dyDescent="0.25">
      <c r="A238" s="9" t="s">
        <v>1006</v>
      </c>
      <c r="B238" s="10" t="s">
        <v>228</v>
      </c>
      <c r="C238" s="9" t="s">
        <v>229</v>
      </c>
      <c r="D238" s="15">
        <v>80.38</v>
      </c>
    </row>
    <row r="239" spans="1:4" x14ac:dyDescent="0.25">
      <c r="A239" s="9" t="s">
        <v>1006</v>
      </c>
      <c r="B239" s="10" t="s">
        <v>232</v>
      </c>
      <c r="C239" s="9" t="s">
        <v>233</v>
      </c>
      <c r="D239" s="15">
        <v>189.02</v>
      </c>
    </row>
    <row r="240" spans="1:4" x14ac:dyDescent="0.25">
      <c r="A240" s="9" t="s">
        <v>1006</v>
      </c>
      <c r="B240" s="10" t="s">
        <v>236</v>
      </c>
      <c r="C240" s="9" t="s">
        <v>237</v>
      </c>
      <c r="D240" s="15">
        <v>95.9</v>
      </c>
    </row>
    <row r="241" spans="1:4" x14ac:dyDescent="0.25">
      <c r="A241" s="9" t="s">
        <v>1006</v>
      </c>
      <c r="B241" s="10" t="s">
        <v>238</v>
      </c>
      <c r="C241" s="9" t="s">
        <v>239</v>
      </c>
      <c r="D241" s="15">
        <v>189.02</v>
      </c>
    </row>
    <row r="242" spans="1:4" x14ac:dyDescent="0.25">
      <c r="A242" s="9" t="s">
        <v>1006</v>
      </c>
      <c r="B242" s="10" t="s">
        <v>240</v>
      </c>
      <c r="C242" s="9" t="s">
        <v>241</v>
      </c>
      <c r="D242" s="15">
        <v>207.32</v>
      </c>
    </row>
    <row r="243" spans="1:4" x14ac:dyDescent="0.25">
      <c r="A243" s="9" t="s">
        <v>1006</v>
      </c>
      <c r="B243" s="10" t="s">
        <v>248</v>
      </c>
      <c r="C243" s="9" t="s">
        <v>249</v>
      </c>
      <c r="D243" s="15">
        <v>126.94</v>
      </c>
    </row>
    <row r="244" spans="1:4" x14ac:dyDescent="0.25">
      <c r="A244" s="9" t="s">
        <v>1006</v>
      </c>
      <c r="B244" s="10" t="s">
        <v>266</v>
      </c>
      <c r="C244" s="9" t="s">
        <v>267</v>
      </c>
      <c r="D244" s="15">
        <v>189.02</v>
      </c>
    </row>
    <row r="245" spans="1:4" x14ac:dyDescent="0.25">
      <c r="A245" s="9" t="s">
        <v>1006</v>
      </c>
      <c r="B245" s="10" t="s">
        <v>274</v>
      </c>
      <c r="C245" s="9" t="s">
        <v>275</v>
      </c>
      <c r="D245" s="15">
        <v>15.52</v>
      </c>
    </row>
    <row r="246" spans="1:4" x14ac:dyDescent="0.25">
      <c r="A246" s="9" t="s">
        <v>1006</v>
      </c>
      <c r="B246" s="10" t="s">
        <v>276</v>
      </c>
      <c r="C246" s="9" t="s">
        <v>277</v>
      </c>
      <c r="D246" s="15">
        <v>315.95999999999998</v>
      </c>
    </row>
    <row r="247" spans="1:4" x14ac:dyDescent="0.25">
      <c r="A247" s="9" t="s">
        <v>1006</v>
      </c>
      <c r="B247" s="10" t="s">
        <v>278</v>
      </c>
      <c r="C247" s="9" t="s">
        <v>279</v>
      </c>
      <c r="D247" s="15">
        <v>189.02</v>
      </c>
    </row>
    <row r="248" spans="1:4" x14ac:dyDescent="0.25">
      <c r="A248" s="9" t="s">
        <v>1006</v>
      </c>
      <c r="B248" s="10" t="s">
        <v>282</v>
      </c>
      <c r="C248" s="9" t="s">
        <v>283</v>
      </c>
      <c r="D248" s="15">
        <v>111.42</v>
      </c>
    </row>
    <row r="249" spans="1:4" x14ac:dyDescent="0.25">
      <c r="A249" s="9" t="s">
        <v>1006</v>
      </c>
      <c r="B249" s="10" t="s">
        <v>284</v>
      </c>
      <c r="C249" s="9" t="s">
        <v>285</v>
      </c>
      <c r="D249" s="15">
        <v>95.9</v>
      </c>
    </row>
    <row r="250" spans="1:4" x14ac:dyDescent="0.25">
      <c r="A250" s="9" t="s">
        <v>1006</v>
      </c>
      <c r="B250" s="10" t="s">
        <v>292</v>
      </c>
      <c r="C250" s="9" t="s">
        <v>293</v>
      </c>
      <c r="D250" s="15">
        <v>95.9</v>
      </c>
    </row>
    <row r="251" spans="1:4" x14ac:dyDescent="0.25">
      <c r="A251" s="9" t="s">
        <v>1006</v>
      </c>
      <c r="B251" s="10" t="s">
        <v>296</v>
      </c>
      <c r="C251" s="9" t="s">
        <v>297</v>
      </c>
      <c r="D251" s="15">
        <v>49.34</v>
      </c>
    </row>
    <row r="252" spans="1:4" x14ac:dyDescent="0.25">
      <c r="A252" s="9" t="s">
        <v>1006</v>
      </c>
      <c r="B252" s="10" t="s">
        <v>298</v>
      </c>
      <c r="C252" s="9" t="s">
        <v>299</v>
      </c>
      <c r="D252" s="15">
        <v>189.02</v>
      </c>
    </row>
    <row r="253" spans="1:4" x14ac:dyDescent="0.25">
      <c r="A253" s="9" t="s">
        <v>1006</v>
      </c>
      <c r="B253" s="10" t="s">
        <v>304</v>
      </c>
      <c r="C253" s="9" t="s">
        <v>305</v>
      </c>
      <c r="D253" s="15">
        <v>334.8</v>
      </c>
    </row>
    <row r="254" spans="1:4" x14ac:dyDescent="0.25">
      <c r="A254" s="9" t="s">
        <v>1006</v>
      </c>
      <c r="B254" s="10" t="s">
        <v>310</v>
      </c>
      <c r="C254" s="9" t="s">
        <v>311</v>
      </c>
      <c r="D254" s="15">
        <v>111.42</v>
      </c>
    </row>
    <row r="255" spans="1:4" x14ac:dyDescent="0.25">
      <c r="A255" s="9" t="s">
        <v>1006</v>
      </c>
      <c r="B255" s="10" t="s">
        <v>318</v>
      </c>
      <c r="C255" s="9" t="s">
        <v>319</v>
      </c>
      <c r="D255" s="15">
        <v>189.02</v>
      </c>
    </row>
    <row r="256" spans="1:4" x14ac:dyDescent="0.25">
      <c r="A256" s="9" t="s">
        <v>1006</v>
      </c>
      <c r="B256" s="10" t="s">
        <v>324</v>
      </c>
      <c r="C256" s="9" t="s">
        <v>325</v>
      </c>
      <c r="D256" s="15">
        <v>284.92</v>
      </c>
    </row>
    <row r="257" spans="1:4" x14ac:dyDescent="0.25">
      <c r="A257" s="9" t="s">
        <v>1006</v>
      </c>
      <c r="B257" s="10" t="s">
        <v>328</v>
      </c>
      <c r="C257" s="9" t="s">
        <v>329</v>
      </c>
      <c r="D257" s="15">
        <v>787.28</v>
      </c>
    </row>
    <row r="258" spans="1:4" x14ac:dyDescent="0.25">
      <c r="A258" s="9" t="s">
        <v>1006</v>
      </c>
      <c r="B258" s="10" t="s">
        <v>336</v>
      </c>
      <c r="C258" s="9" t="s">
        <v>337</v>
      </c>
      <c r="D258" s="15">
        <v>95.9</v>
      </c>
    </row>
    <row r="259" spans="1:4" x14ac:dyDescent="0.25">
      <c r="A259" s="9" t="s">
        <v>1006</v>
      </c>
      <c r="B259" s="10" t="s">
        <v>342</v>
      </c>
      <c r="C259" s="9" t="s">
        <v>343</v>
      </c>
      <c r="D259" s="15">
        <v>95.9</v>
      </c>
    </row>
    <row r="260" spans="1:4" x14ac:dyDescent="0.25">
      <c r="A260" s="9" t="s">
        <v>1006</v>
      </c>
      <c r="B260" s="10" t="s">
        <v>350</v>
      </c>
      <c r="C260" s="9" t="s">
        <v>351</v>
      </c>
      <c r="D260" s="15">
        <v>189.02</v>
      </c>
    </row>
    <row r="261" spans="1:4" x14ac:dyDescent="0.25">
      <c r="A261" s="9" t="s">
        <v>1006</v>
      </c>
      <c r="B261" s="10" t="s">
        <v>356</v>
      </c>
      <c r="C261" s="9" t="s">
        <v>357</v>
      </c>
      <c r="D261" s="15">
        <v>189.02</v>
      </c>
    </row>
    <row r="262" spans="1:4" x14ac:dyDescent="0.25">
      <c r="A262" s="9" t="s">
        <v>1006</v>
      </c>
      <c r="B262" s="10" t="s">
        <v>358</v>
      </c>
      <c r="C262" s="9" t="s">
        <v>359</v>
      </c>
      <c r="D262" s="15">
        <v>189.02</v>
      </c>
    </row>
    <row r="263" spans="1:4" x14ac:dyDescent="0.25">
      <c r="A263" s="9" t="s">
        <v>1006</v>
      </c>
      <c r="B263" s="10" t="s">
        <v>360</v>
      </c>
      <c r="C263" s="9" t="s">
        <v>361</v>
      </c>
      <c r="D263" s="15">
        <v>95.9</v>
      </c>
    </row>
    <row r="264" spans="1:4" x14ac:dyDescent="0.25">
      <c r="A264" s="9" t="s">
        <v>1006</v>
      </c>
      <c r="B264" s="10" t="s">
        <v>362</v>
      </c>
      <c r="C264" s="9" t="s">
        <v>363</v>
      </c>
      <c r="D264" s="15">
        <v>378.04</v>
      </c>
    </row>
    <row r="265" spans="1:4" x14ac:dyDescent="0.25">
      <c r="A265" s="9" t="s">
        <v>1006</v>
      </c>
      <c r="B265" s="10" t="s">
        <v>366</v>
      </c>
      <c r="C265" s="9" t="s">
        <v>367</v>
      </c>
      <c r="D265" s="15">
        <v>95.9</v>
      </c>
    </row>
    <row r="266" spans="1:4" x14ac:dyDescent="0.25">
      <c r="A266" s="9" t="s">
        <v>1006</v>
      </c>
      <c r="B266" s="10" t="s">
        <v>370</v>
      </c>
      <c r="C266" s="9" t="s">
        <v>371</v>
      </c>
      <c r="D266" s="15">
        <v>189.02</v>
      </c>
    </row>
    <row r="267" spans="1:4" x14ac:dyDescent="0.25">
      <c r="A267" s="9" t="s">
        <v>1006</v>
      </c>
      <c r="B267" s="10" t="s">
        <v>376</v>
      </c>
      <c r="C267" s="9" t="s">
        <v>377</v>
      </c>
      <c r="D267" s="15">
        <v>111.42</v>
      </c>
    </row>
    <row r="268" spans="1:4" x14ac:dyDescent="0.25">
      <c r="A268" s="9" t="s">
        <v>1006</v>
      </c>
      <c r="B268" s="10" t="s">
        <v>380</v>
      </c>
      <c r="C268" s="9" t="s">
        <v>381</v>
      </c>
      <c r="D268" s="15">
        <v>173.5</v>
      </c>
    </row>
    <row r="269" spans="1:4" x14ac:dyDescent="0.25">
      <c r="A269" s="9" t="s">
        <v>1006</v>
      </c>
      <c r="B269" s="10" t="s">
        <v>388</v>
      </c>
      <c r="C269" s="9" t="s">
        <v>389</v>
      </c>
      <c r="D269" s="15">
        <v>189.02</v>
      </c>
    </row>
    <row r="270" spans="1:4" x14ac:dyDescent="0.25">
      <c r="A270" s="9" t="s">
        <v>1006</v>
      </c>
      <c r="B270" s="10" t="s">
        <v>390</v>
      </c>
      <c r="C270" s="9" t="s">
        <v>391</v>
      </c>
      <c r="D270" s="15">
        <v>126.94</v>
      </c>
    </row>
    <row r="271" spans="1:4" x14ac:dyDescent="0.25">
      <c r="A271" s="9" t="s">
        <v>1006</v>
      </c>
      <c r="B271" s="10" t="s">
        <v>392</v>
      </c>
      <c r="C271" s="9" t="s">
        <v>393</v>
      </c>
      <c r="D271" s="15">
        <v>270.16000000000003</v>
      </c>
    </row>
    <row r="272" spans="1:4" x14ac:dyDescent="0.25">
      <c r="A272" s="9" t="s">
        <v>1006</v>
      </c>
      <c r="B272" s="10" t="s">
        <v>398</v>
      </c>
      <c r="C272" s="9" t="s">
        <v>399</v>
      </c>
      <c r="D272" s="15">
        <v>111.42</v>
      </c>
    </row>
    <row r="273" spans="1:4" x14ac:dyDescent="0.25">
      <c r="A273" s="9" t="s">
        <v>1006</v>
      </c>
      <c r="B273" s="10" t="s">
        <v>400</v>
      </c>
      <c r="C273" s="9" t="s">
        <v>401</v>
      </c>
      <c r="D273" s="15">
        <v>142.46</v>
      </c>
    </row>
    <row r="274" spans="1:4" x14ac:dyDescent="0.25">
      <c r="A274" s="9" t="s">
        <v>1006</v>
      </c>
      <c r="B274" s="10" t="s">
        <v>402</v>
      </c>
      <c r="C274" s="9" t="s">
        <v>403</v>
      </c>
      <c r="D274" s="15">
        <v>62.08</v>
      </c>
    </row>
    <row r="275" spans="1:4" x14ac:dyDescent="0.25">
      <c r="A275" s="9" t="s">
        <v>1006</v>
      </c>
      <c r="B275" s="10" t="s">
        <v>404</v>
      </c>
      <c r="C275" s="9" t="s">
        <v>405</v>
      </c>
      <c r="D275" s="15">
        <v>126.94</v>
      </c>
    </row>
    <row r="276" spans="1:4" x14ac:dyDescent="0.25">
      <c r="A276" s="9" t="s">
        <v>1006</v>
      </c>
      <c r="B276" s="10" t="s">
        <v>406</v>
      </c>
      <c r="C276" s="9" t="s">
        <v>407</v>
      </c>
      <c r="D276" s="15">
        <v>189.02</v>
      </c>
    </row>
    <row r="277" spans="1:4" x14ac:dyDescent="0.25">
      <c r="A277" s="9" t="s">
        <v>1006</v>
      </c>
      <c r="B277" s="10" t="s">
        <v>410</v>
      </c>
      <c r="C277" s="9" t="s">
        <v>411</v>
      </c>
      <c r="D277" s="15">
        <v>658</v>
      </c>
    </row>
    <row r="278" spans="1:4" x14ac:dyDescent="0.25">
      <c r="A278" s="9" t="s">
        <v>1006</v>
      </c>
      <c r="B278" s="10" t="s">
        <v>412</v>
      </c>
      <c r="C278" s="9" t="s">
        <v>413</v>
      </c>
      <c r="D278" s="15">
        <v>300.44</v>
      </c>
    </row>
    <row r="279" spans="1:4" x14ac:dyDescent="0.25">
      <c r="A279" s="9" t="s">
        <v>1006</v>
      </c>
      <c r="B279" s="10" t="s">
        <v>416</v>
      </c>
      <c r="C279" s="9" t="s">
        <v>417</v>
      </c>
      <c r="D279" s="15">
        <v>173.5</v>
      </c>
    </row>
    <row r="280" spans="1:4" x14ac:dyDescent="0.25">
      <c r="A280" s="9" t="s">
        <v>1006</v>
      </c>
      <c r="B280" s="10" t="s">
        <v>418</v>
      </c>
      <c r="C280" s="9" t="s">
        <v>419</v>
      </c>
      <c r="D280" s="15">
        <v>80.38</v>
      </c>
    </row>
    <row r="281" spans="1:4" x14ac:dyDescent="0.25">
      <c r="A281" s="9" t="s">
        <v>1006</v>
      </c>
      <c r="B281" s="10" t="s">
        <v>424</v>
      </c>
      <c r="C281" s="9" t="s">
        <v>425</v>
      </c>
      <c r="D281" s="15">
        <v>189.02</v>
      </c>
    </row>
    <row r="282" spans="1:4" x14ac:dyDescent="0.25">
      <c r="A282" s="9" t="s">
        <v>1006</v>
      </c>
      <c r="B282" s="10" t="s">
        <v>426</v>
      </c>
      <c r="C282" s="9" t="s">
        <v>427</v>
      </c>
      <c r="D282" s="15">
        <v>189.02</v>
      </c>
    </row>
    <row r="283" spans="1:4" x14ac:dyDescent="0.25">
      <c r="A283" s="9" t="s">
        <v>1006</v>
      </c>
      <c r="B283" s="10" t="s">
        <v>432</v>
      </c>
      <c r="C283" s="9" t="s">
        <v>433</v>
      </c>
      <c r="D283" s="15">
        <v>173.5</v>
      </c>
    </row>
    <row r="284" spans="1:4" x14ac:dyDescent="0.25">
      <c r="A284" s="9" t="s">
        <v>1006</v>
      </c>
      <c r="B284" s="10" t="s">
        <v>436</v>
      </c>
      <c r="C284" s="9" t="s">
        <v>437</v>
      </c>
      <c r="D284" s="15">
        <v>189.02</v>
      </c>
    </row>
    <row r="285" spans="1:4" x14ac:dyDescent="0.25">
      <c r="A285" s="9" t="s">
        <v>1006</v>
      </c>
      <c r="B285" s="10" t="s">
        <v>442</v>
      </c>
      <c r="C285" s="9" t="s">
        <v>443</v>
      </c>
      <c r="D285" s="15">
        <v>173.5</v>
      </c>
    </row>
    <row r="286" spans="1:4" x14ac:dyDescent="0.25">
      <c r="A286" s="9" t="s">
        <v>1006</v>
      </c>
      <c r="B286" s="10" t="s">
        <v>446</v>
      </c>
      <c r="C286" s="9" t="s">
        <v>447</v>
      </c>
      <c r="D286" s="15">
        <v>646.4</v>
      </c>
    </row>
    <row r="287" spans="1:4" x14ac:dyDescent="0.25">
      <c r="A287" s="9" t="s">
        <v>1006</v>
      </c>
      <c r="B287" s="10" t="s">
        <v>452</v>
      </c>
      <c r="C287" s="9" t="s">
        <v>453</v>
      </c>
      <c r="D287" s="15">
        <v>49.34</v>
      </c>
    </row>
    <row r="288" spans="1:4" x14ac:dyDescent="0.25">
      <c r="A288" s="9" t="s">
        <v>1006</v>
      </c>
      <c r="B288" s="10" t="s">
        <v>454</v>
      </c>
      <c r="C288" s="9" t="s">
        <v>455</v>
      </c>
      <c r="D288" s="15">
        <v>189.02</v>
      </c>
    </row>
    <row r="289" spans="1:4" x14ac:dyDescent="0.25">
      <c r="A289" s="9" t="s">
        <v>1006</v>
      </c>
      <c r="B289" s="10" t="s">
        <v>456</v>
      </c>
      <c r="C289" s="9" t="s">
        <v>457</v>
      </c>
      <c r="D289" s="15">
        <v>173.5</v>
      </c>
    </row>
    <row r="290" spans="1:4" x14ac:dyDescent="0.25">
      <c r="A290" s="9" t="s">
        <v>1006</v>
      </c>
      <c r="B290" s="10" t="s">
        <v>458</v>
      </c>
      <c r="C290" s="9" t="s">
        <v>459</v>
      </c>
      <c r="D290" s="15">
        <v>658</v>
      </c>
    </row>
    <row r="291" spans="1:4" x14ac:dyDescent="0.25">
      <c r="A291" s="9" t="s">
        <v>1006</v>
      </c>
      <c r="B291" s="10" t="s">
        <v>474</v>
      </c>
      <c r="C291" s="9" t="s">
        <v>475</v>
      </c>
      <c r="D291" s="15">
        <v>189.02</v>
      </c>
    </row>
    <row r="292" spans="1:4" x14ac:dyDescent="0.25">
      <c r="A292" s="9" t="s">
        <v>1006</v>
      </c>
      <c r="B292" s="10" t="s">
        <v>478</v>
      </c>
      <c r="C292" s="9" t="s">
        <v>479</v>
      </c>
      <c r="D292" s="15">
        <v>142.46</v>
      </c>
    </row>
    <row r="293" spans="1:4" x14ac:dyDescent="0.25">
      <c r="A293" s="9" t="s">
        <v>1006</v>
      </c>
      <c r="B293" s="10" t="s">
        <v>480</v>
      </c>
      <c r="C293" s="9" t="s">
        <v>481</v>
      </c>
      <c r="D293" s="15">
        <v>111.42</v>
      </c>
    </row>
    <row r="294" spans="1:4" x14ac:dyDescent="0.25">
      <c r="A294" s="9" t="s">
        <v>1006</v>
      </c>
      <c r="B294" s="10" t="s">
        <v>496</v>
      </c>
      <c r="C294" s="9" t="s">
        <v>497</v>
      </c>
      <c r="D294" s="15">
        <v>111.42</v>
      </c>
    </row>
    <row r="295" spans="1:4" x14ac:dyDescent="0.25">
      <c r="A295" s="9" t="s">
        <v>1006</v>
      </c>
      <c r="B295" s="10" t="s">
        <v>498</v>
      </c>
      <c r="C295" s="9" t="s">
        <v>499</v>
      </c>
      <c r="D295" s="15">
        <v>111.42</v>
      </c>
    </row>
    <row r="296" spans="1:4" x14ac:dyDescent="0.25">
      <c r="A296" s="9" t="s">
        <v>1006</v>
      </c>
      <c r="B296" s="10" t="s">
        <v>500</v>
      </c>
      <c r="C296" s="9" t="s">
        <v>501</v>
      </c>
      <c r="D296" s="15">
        <v>189.02</v>
      </c>
    </row>
    <row r="297" spans="1:4" x14ac:dyDescent="0.25">
      <c r="A297" s="9" t="s">
        <v>1006</v>
      </c>
      <c r="B297" s="10" t="s">
        <v>504</v>
      </c>
      <c r="C297" s="9" t="s">
        <v>505</v>
      </c>
      <c r="D297" s="15">
        <v>399.44</v>
      </c>
    </row>
    <row r="298" spans="1:4" x14ac:dyDescent="0.25">
      <c r="A298" s="9" t="s">
        <v>1006</v>
      </c>
      <c r="B298" s="10" t="s">
        <v>506</v>
      </c>
      <c r="C298" s="9" t="s">
        <v>507</v>
      </c>
      <c r="D298" s="15">
        <v>108.64</v>
      </c>
    </row>
    <row r="299" spans="1:4" x14ac:dyDescent="0.25">
      <c r="A299" s="9" t="s">
        <v>1006</v>
      </c>
      <c r="B299" s="10" t="s">
        <v>508</v>
      </c>
      <c r="C299" s="9" t="s">
        <v>509</v>
      </c>
      <c r="D299" s="15">
        <v>475.68</v>
      </c>
    </row>
    <row r="300" spans="1:4" x14ac:dyDescent="0.25">
      <c r="A300" s="9" t="s">
        <v>1006</v>
      </c>
      <c r="B300" s="10" t="s">
        <v>512</v>
      </c>
      <c r="C300" s="9" t="s">
        <v>513</v>
      </c>
      <c r="D300" s="15">
        <v>64.86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D5"/>
  <sheetViews>
    <sheetView topLeftCell="B1" workbookViewId="0">
      <selection activeCell="D3" sqref="D3"/>
    </sheetView>
  </sheetViews>
  <sheetFormatPr defaultRowHeight="15" x14ac:dyDescent="0.25"/>
  <cols>
    <col min="1" max="1" width="11.875" hidden="1" customWidth="1"/>
    <col min="2" max="2" width="16.25" style="10" customWidth="1"/>
    <col min="3" max="3" width="32.125" style="10" customWidth="1"/>
    <col min="4" max="4" width="11.125" style="10" customWidth="1"/>
  </cols>
  <sheetData>
    <row r="1" spans="1:4" ht="47.85" customHeight="1" x14ac:dyDescent="0.25">
      <c r="A1" s="23" t="s">
        <v>58</v>
      </c>
      <c r="B1" s="23"/>
      <c r="C1" s="23"/>
      <c r="D1" s="23"/>
    </row>
    <row r="2" spans="1:4" ht="60" x14ac:dyDescent="0.25">
      <c r="A2" s="12"/>
      <c r="B2" s="12" t="s">
        <v>59</v>
      </c>
      <c r="C2" s="12" t="s">
        <v>10</v>
      </c>
      <c r="D2" s="12" t="s">
        <v>60</v>
      </c>
    </row>
    <row r="3" spans="1:4" x14ac:dyDescent="0.25">
      <c r="A3">
        <v>96281170920</v>
      </c>
      <c r="B3" s="10" t="s">
        <v>561</v>
      </c>
      <c r="C3" s="10" t="s">
        <v>562</v>
      </c>
      <c r="D3" s="10" t="s">
        <v>563</v>
      </c>
    </row>
    <row r="4" spans="1:4" x14ac:dyDescent="0.25">
      <c r="A4">
        <v>93316453172</v>
      </c>
      <c r="B4" s="10" t="s">
        <v>687</v>
      </c>
      <c r="C4" s="10" t="s">
        <v>688</v>
      </c>
      <c r="D4" s="10" t="s">
        <v>689</v>
      </c>
    </row>
    <row r="5" spans="1:4" x14ac:dyDescent="0.25">
      <c r="A5">
        <v>96281170920</v>
      </c>
      <c r="B5" s="10" t="s">
        <v>1005</v>
      </c>
      <c r="C5" s="10" t="s">
        <v>1006</v>
      </c>
      <c r="D5" s="10" t="s">
        <v>1007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57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56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B428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5" t="s">
        <v>55</v>
      </c>
      <c r="B1" s="25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  <row r="3" spans="1:2" x14ac:dyDescent="0.25">
      <c r="A3" s="10" t="s">
        <v>88</v>
      </c>
      <c r="B3" s="15">
        <v>0</v>
      </c>
    </row>
    <row r="4" spans="1:2" x14ac:dyDescent="0.25">
      <c r="A4" s="10" t="s">
        <v>88</v>
      </c>
      <c r="B4" s="15">
        <v>0</v>
      </c>
    </row>
    <row r="5" spans="1:2" x14ac:dyDescent="0.25">
      <c r="A5" s="10" t="s">
        <v>90</v>
      </c>
      <c r="B5" s="15">
        <v>0</v>
      </c>
    </row>
    <row r="6" spans="1:2" x14ac:dyDescent="0.25">
      <c r="A6" s="10" t="s">
        <v>90</v>
      </c>
      <c r="B6" s="15">
        <v>0</v>
      </c>
    </row>
    <row r="7" spans="1:2" x14ac:dyDescent="0.25">
      <c r="A7" s="10" t="s">
        <v>92</v>
      </c>
      <c r="B7" s="15">
        <v>0</v>
      </c>
    </row>
    <row r="8" spans="1:2" x14ac:dyDescent="0.25">
      <c r="A8" s="10" t="s">
        <v>92</v>
      </c>
      <c r="B8" s="15">
        <v>0</v>
      </c>
    </row>
    <row r="9" spans="1:2" x14ac:dyDescent="0.25">
      <c r="A9" s="10" t="s">
        <v>94</v>
      </c>
      <c r="B9" s="15">
        <v>0</v>
      </c>
    </row>
    <row r="10" spans="1:2" x14ac:dyDescent="0.25">
      <c r="A10" s="10" t="s">
        <v>94</v>
      </c>
      <c r="B10" s="15">
        <v>0</v>
      </c>
    </row>
    <row r="11" spans="1:2" x14ac:dyDescent="0.25">
      <c r="A11" s="10" t="s">
        <v>96</v>
      </c>
      <c r="B11" s="15">
        <v>0</v>
      </c>
    </row>
    <row r="12" spans="1:2" x14ac:dyDescent="0.25">
      <c r="A12" s="10" t="s">
        <v>96</v>
      </c>
      <c r="B12" s="15">
        <v>0</v>
      </c>
    </row>
    <row r="13" spans="1:2" x14ac:dyDescent="0.25">
      <c r="A13" s="10" t="s">
        <v>98</v>
      </c>
      <c r="B13" s="15">
        <v>0</v>
      </c>
    </row>
    <row r="14" spans="1:2" x14ac:dyDescent="0.25">
      <c r="A14" s="10" t="s">
        <v>98</v>
      </c>
      <c r="B14" s="15">
        <v>0</v>
      </c>
    </row>
    <row r="15" spans="1:2" x14ac:dyDescent="0.25">
      <c r="A15" s="10" t="s">
        <v>100</v>
      </c>
      <c r="B15" s="15">
        <v>0</v>
      </c>
    </row>
    <row r="16" spans="1:2" x14ac:dyDescent="0.25">
      <c r="A16" s="10" t="s">
        <v>100</v>
      </c>
      <c r="B16" s="15">
        <v>0</v>
      </c>
    </row>
    <row r="17" spans="1:2" x14ac:dyDescent="0.25">
      <c r="A17" s="10" t="s">
        <v>102</v>
      </c>
      <c r="B17" s="15">
        <v>0</v>
      </c>
    </row>
    <row r="18" spans="1:2" x14ac:dyDescent="0.25">
      <c r="A18" s="10" t="s">
        <v>102</v>
      </c>
      <c r="B18" s="15">
        <v>0</v>
      </c>
    </row>
    <row r="19" spans="1:2" x14ac:dyDescent="0.25">
      <c r="A19" s="10" t="s">
        <v>104</v>
      </c>
      <c r="B19" s="15">
        <v>0</v>
      </c>
    </row>
    <row r="20" spans="1:2" x14ac:dyDescent="0.25">
      <c r="A20" s="10" t="s">
        <v>104</v>
      </c>
      <c r="B20" s="15">
        <v>0</v>
      </c>
    </row>
    <row r="21" spans="1:2" x14ac:dyDescent="0.25">
      <c r="A21" s="10" t="s">
        <v>106</v>
      </c>
      <c r="B21" s="15">
        <v>0</v>
      </c>
    </row>
    <row r="22" spans="1:2" x14ac:dyDescent="0.25">
      <c r="A22" s="10" t="s">
        <v>106</v>
      </c>
      <c r="B22" s="15">
        <v>0</v>
      </c>
    </row>
    <row r="23" spans="1:2" x14ac:dyDescent="0.25">
      <c r="A23" s="10" t="s">
        <v>108</v>
      </c>
      <c r="B23" s="15">
        <v>0</v>
      </c>
    </row>
    <row r="24" spans="1:2" x14ac:dyDescent="0.25">
      <c r="A24" s="10" t="s">
        <v>108</v>
      </c>
      <c r="B24" s="15">
        <v>0</v>
      </c>
    </row>
    <row r="25" spans="1:2" x14ac:dyDescent="0.25">
      <c r="A25" s="10" t="s">
        <v>110</v>
      </c>
      <c r="B25" s="15">
        <v>0</v>
      </c>
    </row>
    <row r="26" spans="1:2" x14ac:dyDescent="0.25">
      <c r="A26" s="10" t="s">
        <v>110</v>
      </c>
      <c r="B26" s="15">
        <v>0</v>
      </c>
    </row>
    <row r="27" spans="1:2" x14ac:dyDescent="0.25">
      <c r="A27" s="10" t="s">
        <v>112</v>
      </c>
      <c r="B27" s="15">
        <v>0</v>
      </c>
    </row>
    <row r="28" spans="1:2" x14ac:dyDescent="0.25">
      <c r="A28" s="10" t="s">
        <v>112</v>
      </c>
      <c r="B28" s="15">
        <v>0</v>
      </c>
    </row>
    <row r="29" spans="1:2" x14ac:dyDescent="0.25">
      <c r="A29" s="10" t="s">
        <v>114</v>
      </c>
      <c r="B29" s="15">
        <v>0</v>
      </c>
    </row>
    <row r="30" spans="1:2" x14ac:dyDescent="0.25">
      <c r="A30" s="10" t="s">
        <v>114</v>
      </c>
      <c r="B30" s="15">
        <v>0</v>
      </c>
    </row>
    <row r="31" spans="1:2" x14ac:dyDescent="0.25">
      <c r="A31" s="10" t="s">
        <v>116</v>
      </c>
      <c r="B31" s="15">
        <v>0</v>
      </c>
    </row>
    <row r="32" spans="1:2" x14ac:dyDescent="0.25">
      <c r="A32" s="10" t="s">
        <v>116</v>
      </c>
      <c r="B32" s="15">
        <v>0</v>
      </c>
    </row>
    <row r="33" spans="1:2" x14ac:dyDescent="0.25">
      <c r="A33" s="10" t="s">
        <v>118</v>
      </c>
      <c r="B33" s="15">
        <v>0</v>
      </c>
    </row>
    <row r="34" spans="1:2" x14ac:dyDescent="0.25">
      <c r="A34" s="10" t="s">
        <v>118</v>
      </c>
      <c r="B34" s="15">
        <v>0</v>
      </c>
    </row>
    <row r="35" spans="1:2" x14ac:dyDescent="0.25">
      <c r="A35" s="10" t="s">
        <v>120</v>
      </c>
      <c r="B35" s="15">
        <v>0</v>
      </c>
    </row>
    <row r="36" spans="1:2" x14ac:dyDescent="0.25">
      <c r="A36" s="10" t="s">
        <v>120</v>
      </c>
      <c r="B36" s="15">
        <v>0</v>
      </c>
    </row>
    <row r="37" spans="1:2" x14ac:dyDescent="0.25">
      <c r="A37" s="10" t="s">
        <v>122</v>
      </c>
      <c r="B37" s="15">
        <v>0</v>
      </c>
    </row>
    <row r="38" spans="1:2" x14ac:dyDescent="0.25">
      <c r="A38" s="10" t="s">
        <v>122</v>
      </c>
      <c r="B38" s="15">
        <v>0</v>
      </c>
    </row>
    <row r="39" spans="1:2" x14ac:dyDescent="0.25">
      <c r="A39" s="10" t="s">
        <v>124</v>
      </c>
      <c r="B39" s="15">
        <v>0</v>
      </c>
    </row>
    <row r="40" spans="1:2" x14ac:dyDescent="0.25">
      <c r="A40" s="10" t="s">
        <v>124</v>
      </c>
      <c r="B40" s="15">
        <v>0</v>
      </c>
    </row>
    <row r="41" spans="1:2" x14ac:dyDescent="0.25">
      <c r="A41" s="10" t="s">
        <v>126</v>
      </c>
      <c r="B41" s="15">
        <v>0</v>
      </c>
    </row>
    <row r="42" spans="1:2" x14ac:dyDescent="0.25">
      <c r="A42" s="10" t="s">
        <v>126</v>
      </c>
      <c r="B42" s="15">
        <v>0</v>
      </c>
    </row>
    <row r="43" spans="1:2" x14ac:dyDescent="0.25">
      <c r="A43" s="10" t="s">
        <v>128</v>
      </c>
      <c r="B43" s="15">
        <v>0</v>
      </c>
    </row>
    <row r="44" spans="1:2" x14ac:dyDescent="0.25">
      <c r="A44" s="10" t="s">
        <v>128</v>
      </c>
      <c r="B44" s="15">
        <v>0</v>
      </c>
    </row>
    <row r="45" spans="1:2" x14ac:dyDescent="0.25">
      <c r="A45" s="10" t="s">
        <v>130</v>
      </c>
      <c r="B45" s="15">
        <v>0</v>
      </c>
    </row>
    <row r="46" spans="1:2" x14ac:dyDescent="0.25">
      <c r="A46" s="10" t="s">
        <v>130</v>
      </c>
      <c r="B46" s="15">
        <v>0</v>
      </c>
    </row>
    <row r="47" spans="1:2" x14ac:dyDescent="0.25">
      <c r="A47" s="10" t="s">
        <v>132</v>
      </c>
      <c r="B47" s="15">
        <v>0</v>
      </c>
    </row>
    <row r="48" spans="1:2" x14ac:dyDescent="0.25">
      <c r="A48" s="10" t="s">
        <v>132</v>
      </c>
      <c r="B48" s="15">
        <v>0</v>
      </c>
    </row>
    <row r="49" spans="1:2" x14ac:dyDescent="0.25">
      <c r="A49" s="10" t="s">
        <v>134</v>
      </c>
      <c r="B49" s="15">
        <v>0</v>
      </c>
    </row>
    <row r="50" spans="1:2" x14ac:dyDescent="0.25">
      <c r="A50" s="10" t="s">
        <v>134</v>
      </c>
      <c r="B50" s="15">
        <v>0</v>
      </c>
    </row>
    <row r="51" spans="1:2" x14ac:dyDescent="0.25">
      <c r="A51" s="10" t="s">
        <v>136</v>
      </c>
      <c r="B51" s="15">
        <v>0</v>
      </c>
    </row>
    <row r="52" spans="1:2" x14ac:dyDescent="0.25">
      <c r="A52" s="10" t="s">
        <v>136</v>
      </c>
      <c r="B52" s="15">
        <v>0</v>
      </c>
    </row>
    <row r="53" spans="1:2" x14ac:dyDescent="0.25">
      <c r="A53" s="10" t="s">
        <v>138</v>
      </c>
      <c r="B53" s="15">
        <v>0</v>
      </c>
    </row>
    <row r="54" spans="1:2" x14ac:dyDescent="0.25">
      <c r="A54" s="10" t="s">
        <v>138</v>
      </c>
      <c r="B54" s="15">
        <v>0</v>
      </c>
    </row>
    <row r="55" spans="1:2" x14ac:dyDescent="0.25">
      <c r="A55" s="10" t="s">
        <v>140</v>
      </c>
      <c r="B55" s="15">
        <v>0</v>
      </c>
    </row>
    <row r="56" spans="1:2" x14ac:dyDescent="0.25">
      <c r="A56" s="10" t="s">
        <v>140</v>
      </c>
      <c r="B56" s="15">
        <v>0</v>
      </c>
    </row>
    <row r="57" spans="1:2" x14ac:dyDescent="0.25">
      <c r="A57" s="10" t="s">
        <v>142</v>
      </c>
      <c r="B57" s="15">
        <v>0</v>
      </c>
    </row>
    <row r="58" spans="1:2" x14ac:dyDescent="0.25">
      <c r="A58" s="10" t="s">
        <v>142</v>
      </c>
      <c r="B58" s="15">
        <v>0</v>
      </c>
    </row>
    <row r="59" spans="1:2" x14ac:dyDescent="0.25">
      <c r="A59" s="10" t="s">
        <v>144</v>
      </c>
      <c r="B59" s="15">
        <v>0</v>
      </c>
    </row>
    <row r="60" spans="1:2" x14ac:dyDescent="0.25">
      <c r="A60" s="10" t="s">
        <v>144</v>
      </c>
      <c r="B60" s="15">
        <v>0</v>
      </c>
    </row>
    <row r="61" spans="1:2" x14ac:dyDescent="0.25">
      <c r="A61" s="10" t="s">
        <v>146</v>
      </c>
      <c r="B61" s="15">
        <v>0</v>
      </c>
    </row>
    <row r="62" spans="1:2" x14ac:dyDescent="0.25">
      <c r="A62" s="10" t="s">
        <v>146</v>
      </c>
      <c r="B62" s="15">
        <v>0</v>
      </c>
    </row>
    <row r="63" spans="1:2" x14ac:dyDescent="0.25">
      <c r="A63" s="10" t="s">
        <v>148</v>
      </c>
      <c r="B63" s="15">
        <v>0</v>
      </c>
    </row>
    <row r="64" spans="1:2" x14ac:dyDescent="0.25">
      <c r="A64" s="10" t="s">
        <v>148</v>
      </c>
      <c r="B64" s="15">
        <v>0</v>
      </c>
    </row>
    <row r="65" spans="1:2" x14ac:dyDescent="0.25">
      <c r="A65" s="10" t="s">
        <v>150</v>
      </c>
      <c r="B65" s="15">
        <v>0</v>
      </c>
    </row>
    <row r="66" spans="1:2" x14ac:dyDescent="0.25">
      <c r="A66" s="10" t="s">
        <v>150</v>
      </c>
      <c r="B66" s="15">
        <v>0</v>
      </c>
    </row>
    <row r="67" spans="1:2" x14ac:dyDescent="0.25">
      <c r="A67" s="10" t="s">
        <v>152</v>
      </c>
      <c r="B67" s="15">
        <v>0</v>
      </c>
    </row>
    <row r="68" spans="1:2" x14ac:dyDescent="0.25">
      <c r="A68" s="10" t="s">
        <v>152</v>
      </c>
      <c r="B68" s="15">
        <v>0</v>
      </c>
    </row>
    <row r="69" spans="1:2" x14ac:dyDescent="0.25">
      <c r="A69" s="10" t="s">
        <v>154</v>
      </c>
      <c r="B69" s="15">
        <v>0</v>
      </c>
    </row>
    <row r="70" spans="1:2" x14ac:dyDescent="0.25">
      <c r="A70" s="10" t="s">
        <v>154</v>
      </c>
      <c r="B70" s="15">
        <v>0</v>
      </c>
    </row>
    <row r="71" spans="1:2" x14ac:dyDescent="0.25">
      <c r="A71" s="10" t="s">
        <v>156</v>
      </c>
      <c r="B71" s="15">
        <v>0</v>
      </c>
    </row>
    <row r="72" spans="1:2" x14ac:dyDescent="0.25">
      <c r="A72" s="10" t="s">
        <v>156</v>
      </c>
      <c r="B72" s="15">
        <v>0</v>
      </c>
    </row>
    <row r="73" spans="1:2" x14ac:dyDescent="0.25">
      <c r="A73" s="10" t="s">
        <v>158</v>
      </c>
      <c r="B73" s="15">
        <v>0</v>
      </c>
    </row>
    <row r="74" spans="1:2" x14ac:dyDescent="0.25">
      <c r="A74" s="10" t="s">
        <v>158</v>
      </c>
      <c r="B74" s="15">
        <v>0</v>
      </c>
    </row>
    <row r="75" spans="1:2" x14ac:dyDescent="0.25">
      <c r="A75" s="10" t="s">
        <v>160</v>
      </c>
      <c r="B75" s="15">
        <v>0</v>
      </c>
    </row>
    <row r="76" spans="1:2" x14ac:dyDescent="0.25">
      <c r="A76" s="10" t="s">
        <v>160</v>
      </c>
      <c r="B76" s="15">
        <v>0</v>
      </c>
    </row>
    <row r="77" spans="1:2" x14ac:dyDescent="0.25">
      <c r="A77" s="10" t="s">
        <v>162</v>
      </c>
      <c r="B77" s="15">
        <v>0</v>
      </c>
    </row>
    <row r="78" spans="1:2" x14ac:dyDescent="0.25">
      <c r="A78" s="10" t="s">
        <v>162</v>
      </c>
      <c r="B78" s="15">
        <v>0</v>
      </c>
    </row>
    <row r="79" spans="1:2" x14ac:dyDescent="0.25">
      <c r="A79" s="10" t="s">
        <v>164</v>
      </c>
      <c r="B79" s="15">
        <v>0</v>
      </c>
    </row>
    <row r="80" spans="1:2" x14ac:dyDescent="0.25">
      <c r="A80" s="10" t="s">
        <v>164</v>
      </c>
      <c r="B80" s="15">
        <v>0</v>
      </c>
    </row>
    <row r="81" spans="1:2" x14ac:dyDescent="0.25">
      <c r="A81" s="10" t="s">
        <v>166</v>
      </c>
      <c r="B81" s="15">
        <v>0</v>
      </c>
    </row>
    <row r="82" spans="1:2" x14ac:dyDescent="0.25">
      <c r="A82" s="10" t="s">
        <v>166</v>
      </c>
      <c r="B82" s="15">
        <v>0</v>
      </c>
    </row>
    <row r="83" spans="1:2" x14ac:dyDescent="0.25">
      <c r="A83" s="10" t="s">
        <v>168</v>
      </c>
      <c r="B83" s="15">
        <v>0</v>
      </c>
    </row>
    <row r="84" spans="1:2" x14ac:dyDescent="0.25">
      <c r="A84" s="10" t="s">
        <v>168</v>
      </c>
      <c r="B84" s="15">
        <v>0</v>
      </c>
    </row>
    <row r="85" spans="1:2" x14ac:dyDescent="0.25">
      <c r="A85" s="10" t="s">
        <v>170</v>
      </c>
      <c r="B85" s="15">
        <v>0</v>
      </c>
    </row>
    <row r="86" spans="1:2" x14ac:dyDescent="0.25">
      <c r="A86" s="10" t="s">
        <v>170</v>
      </c>
      <c r="B86" s="15">
        <v>0</v>
      </c>
    </row>
    <row r="87" spans="1:2" x14ac:dyDescent="0.25">
      <c r="A87" s="10" t="s">
        <v>172</v>
      </c>
      <c r="B87" s="15">
        <v>0</v>
      </c>
    </row>
    <row r="88" spans="1:2" x14ac:dyDescent="0.25">
      <c r="A88" s="10" t="s">
        <v>172</v>
      </c>
      <c r="B88" s="15">
        <v>0</v>
      </c>
    </row>
    <row r="89" spans="1:2" x14ac:dyDescent="0.25">
      <c r="A89" s="10" t="s">
        <v>174</v>
      </c>
      <c r="B89" s="15">
        <v>0</v>
      </c>
    </row>
    <row r="90" spans="1:2" x14ac:dyDescent="0.25">
      <c r="A90" s="10" t="s">
        <v>174</v>
      </c>
      <c r="B90" s="15">
        <v>0</v>
      </c>
    </row>
    <row r="91" spans="1:2" x14ac:dyDescent="0.25">
      <c r="A91" s="10" t="s">
        <v>176</v>
      </c>
      <c r="B91" s="15">
        <v>0</v>
      </c>
    </row>
    <row r="92" spans="1:2" x14ac:dyDescent="0.25">
      <c r="A92" s="10" t="s">
        <v>176</v>
      </c>
      <c r="B92" s="15">
        <v>0</v>
      </c>
    </row>
    <row r="93" spans="1:2" x14ac:dyDescent="0.25">
      <c r="A93" s="10" t="s">
        <v>178</v>
      </c>
      <c r="B93" s="15">
        <v>0</v>
      </c>
    </row>
    <row r="94" spans="1:2" x14ac:dyDescent="0.25">
      <c r="A94" s="10" t="s">
        <v>178</v>
      </c>
      <c r="B94" s="15">
        <v>0</v>
      </c>
    </row>
    <row r="95" spans="1:2" x14ac:dyDescent="0.25">
      <c r="A95" s="10" t="s">
        <v>180</v>
      </c>
      <c r="B95" s="15">
        <v>0</v>
      </c>
    </row>
    <row r="96" spans="1:2" x14ac:dyDescent="0.25">
      <c r="A96" s="10" t="s">
        <v>180</v>
      </c>
      <c r="B96" s="15">
        <v>0</v>
      </c>
    </row>
    <row r="97" spans="1:2" x14ac:dyDescent="0.25">
      <c r="A97" s="10" t="s">
        <v>182</v>
      </c>
      <c r="B97" s="15">
        <v>0</v>
      </c>
    </row>
    <row r="98" spans="1:2" x14ac:dyDescent="0.25">
      <c r="A98" s="10" t="s">
        <v>182</v>
      </c>
      <c r="B98" s="15">
        <v>0</v>
      </c>
    </row>
    <row r="99" spans="1:2" x14ac:dyDescent="0.25">
      <c r="A99" s="10" t="s">
        <v>184</v>
      </c>
      <c r="B99" s="15">
        <v>0</v>
      </c>
    </row>
    <row r="100" spans="1:2" x14ac:dyDescent="0.25">
      <c r="A100" s="10" t="s">
        <v>184</v>
      </c>
      <c r="B100" s="15">
        <v>0</v>
      </c>
    </row>
    <row r="101" spans="1:2" x14ac:dyDescent="0.25">
      <c r="A101" s="10" t="s">
        <v>186</v>
      </c>
      <c r="B101" s="15">
        <v>0</v>
      </c>
    </row>
    <row r="102" spans="1:2" x14ac:dyDescent="0.25">
      <c r="A102" s="10" t="s">
        <v>186</v>
      </c>
      <c r="B102" s="15">
        <v>0</v>
      </c>
    </row>
    <row r="103" spans="1:2" x14ac:dyDescent="0.25">
      <c r="A103" s="10" t="s">
        <v>188</v>
      </c>
      <c r="B103" s="15">
        <v>0</v>
      </c>
    </row>
    <row r="104" spans="1:2" x14ac:dyDescent="0.25">
      <c r="A104" s="10" t="s">
        <v>188</v>
      </c>
      <c r="B104" s="15">
        <v>0</v>
      </c>
    </row>
    <row r="105" spans="1:2" x14ac:dyDescent="0.25">
      <c r="A105" s="10" t="s">
        <v>190</v>
      </c>
      <c r="B105" s="15">
        <v>0</v>
      </c>
    </row>
    <row r="106" spans="1:2" x14ac:dyDescent="0.25">
      <c r="A106" s="10" t="s">
        <v>190</v>
      </c>
      <c r="B106" s="15">
        <v>0</v>
      </c>
    </row>
    <row r="107" spans="1:2" x14ac:dyDescent="0.25">
      <c r="A107" s="10" t="s">
        <v>192</v>
      </c>
      <c r="B107" s="15">
        <v>0</v>
      </c>
    </row>
    <row r="108" spans="1:2" x14ac:dyDescent="0.25">
      <c r="A108" s="10" t="s">
        <v>192</v>
      </c>
      <c r="B108" s="15">
        <v>0</v>
      </c>
    </row>
    <row r="109" spans="1:2" x14ac:dyDescent="0.25">
      <c r="A109" s="10" t="s">
        <v>194</v>
      </c>
      <c r="B109" s="15">
        <v>0</v>
      </c>
    </row>
    <row r="110" spans="1:2" x14ac:dyDescent="0.25">
      <c r="A110" s="10" t="s">
        <v>194</v>
      </c>
      <c r="B110" s="15">
        <v>0</v>
      </c>
    </row>
    <row r="111" spans="1:2" x14ac:dyDescent="0.25">
      <c r="A111" s="10" t="s">
        <v>196</v>
      </c>
      <c r="B111" s="15">
        <v>0</v>
      </c>
    </row>
    <row r="112" spans="1:2" x14ac:dyDescent="0.25">
      <c r="A112" s="10" t="s">
        <v>196</v>
      </c>
      <c r="B112" s="15">
        <v>0</v>
      </c>
    </row>
    <row r="113" spans="1:2" x14ac:dyDescent="0.25">
      <c r="A113" s="10" t="s">
        <v>198</v>
      </c>
      <c r="B113" s="15">
        <v>0</v>
      </c>
    </row>
    <row r="114" spans="1:2" x14ac:dyDescent="0.25">
      <c r="A114" s="10" t="s">
        <v>198</v>
      </c>
      <c r="B114" s="15">
        <v>0</v>
      </c>
    </row>
    <row r="115" spans="1:2" x14ac:dyDescent="0.25">
      <c r="A115" s="10" t="s">
        <v>200</v>
      </c>
      <c r="B115" s="15">
        <v>0</v>
      </c>
    </row>
    <row r="116" spans="1:2" x14ac:dyDescent="0.25">
      <c r="A116" s="10" t="s">
        <v>200</v>
      </c>
      <c r="B116" s="15">
        <v>0</v>
      </c>
    </row>
    <row r="117" spans="1:2" x14ac:dyDescent="0.25">
      <c r="A117" s="10" t="s">
        <v>202</v>
      </c>
      <c r="B117" s="15">
        <v>0</v>
      </c>
    </row>
    <row r="118" spans="1:2" x14ac:dyDescent="0.25">
      <c r="A118" s="10" t="s">
        <v>202</v>
      </c>
      <c r="B118" s="15">
        <v>0</v>
      </c>
    </row>
    <row r="119" spans="1:2" x14ac:dyDescent="0.25">
      <c r="A119" s="10" t="s">
        <v>204</v>
      </c>
      <c r="B119" s="15">
        <v>0</v>
      </c>
    </row>
    <row r="120" spans="1:2" x14ac:dyDescent="0.25">
      <c r="A120" s="10" t="s">
        <v>204</v>
      </c>
      <c r="B120" s="15">
        <v>0</v>
      </c>
    </row>
    <row r="121" spans="1:2" x14ac:dyDescent="0.25">
      <c r="A121" s="10" t="s">
        <v>206</v>
      </c>
      <c r="B121" s="15">
        <v>0</v>
      </c>
    </row>
    <row r="122" spans="1:2" x14ac:dyDescent="0.25">
      <c r="A122" s="10" t="s">
        <v>206</v>
      </c>
      <c r="B122" s="15">
        <v>0</v>
      </c>
    </row>
    <row r="123" spans="1:2" x14ac:dyDescent="0.25">
      <c r="A123" s="10" t="s">
        <v>208</v>
      </c>
      <c r="B123" s="15">
        <v>0</v>
      </c>
    </row>
    <row r="124" spans="1:2" x14ac:dyDescent="0.25">
      <c r="A124" s="10" t="s">
        <v>208</v>
      </c>
      <c r="B124" s="15">
        <v>0</v>
      </c>
    </row>
    <row r="125" spans="1:2" x14ac:dyDescent="0.25">
      <c r="A125" s="10" t="s">
        <v>210</v>
      </c>
      <c r="B125" s="15">
        <v>0</v>
      </c>
    </row>
    <row r="126" spans="1:2" x14ac:dyDescent="0.25">
      <c r="A126" s="10" t="s">
        <v>210</v>
      </c>
      <c r="B126" s="15">
        <v>0</v>
      </c>
    </row>
    <row r="127" spans="1:2" x14ac:dyDescent="0.25">
      <c r="A127" s="10" t="s">
        <v>212</v>
      </c>
      <c r="B127" s="15">
        <v>0</v>
      </c>
    </row>
    <row r="128" spans="1:2" x14ac:dyDescent="0.25">
      <c r="A128" s="10" t="s">
        <v>212</v>
      </c>
      <c r="B128" s="15">
        <v>0</v>
      </c>
    </row>
    <row r="129" spans="1:2" x14ac:dyDescent="0.25">
      <c r="A129" s="10" t="s">
        <v>214</v>
      </c>
      <c r="B129" s="15">
        <v>0</v>
      </c>
    </row>
    <row r="130" spans="1:2" x14ac:dyDescent="0.25">
      <c r="A130" s="10" t="s">
        <v>214</v>
      </c>
      <c r="B130" s="15">
        <v>0</v>
      </c>
    </row>
    <row r="131" spans="1:2" x14ac:dyDescent="0.25">
      <c r="A131" s="10" t="s">
        <v>216</v>
      </c>
      <c r="B131" s="15">
        <v>0</v>
      </c>
    </row>
    <row r="132" spans="1:2" x14ac:dyDescent="0.25">
      <c r="A132" s="10" t="s">
        <v>216</v>
      </c>
      <c r="B132" s="15">
        <v>0</v>
      </c>
    </row>
    <row r="133" spans="1:2" x14ac:dyDescent="0.25">
      <c r="A133" s="10" t="s">
        <v>218</v>
      </c>
      <c r="B133" s="15">
        <v>0</v>
      </c>
    </row>
    <row r="134" spans="1:2" x14ac:dyDescent="0.25">
      <c r="A134" s="10" t="s">
        <v>218</v>
      </c>
      <c r="B134" s="15">
        <v>0</v>
      </c>
    </row>
    <row r="135" spans="1:2" x14ac:dyDescent="0.25">
      <c r="A135" s="10" t="s">
        <v>220</v>
      </c>
      <c r="B135" s="15">
        <v>0</v>
      </c>
    </row>
    <row r="136" spans="1:2" x14ac:dyDescent="0.25">
      <c r="A136" s="10" t="s">
        <v>220</v>
      </c>
      <c r="B136" s="15">
        <v>0</v>
      </c>
    </row>
    <row r="137" spans="1:2" x14ac:dyDescent="0.25">
      <c r="A137" s="10" t="s">
        <v>222</v>
      </c>
      <c r="B137" s="15">
        <v>0</v>
      </c>
    </row>
    <row r="138" spans="1:2" x14ac:dyDescent="0.25">
      <c r="A138" s="10" t="s">
        <v>222</v>
      </c>
      <c r="B138" s="15">
        <v>0</v>
      </c>
    </row>
    <row r="139" spans="1:2" x14ac:dyDescent="0.25">
      <c r="A139" s="10" t="s">
        <v>224</v>
      </c>
      <c r="B139" s="15">
        <v>0</v>
      </c>
    </row>
    <row r="140" spans="1:2" x14ac:dyDescent="0.25">
      <c r="A140" s="10" t="s">
        <v>224</v>
      </c>
      <c r="B140" s="15">
        <v>0</v>
      </c>
    </row>
    <row r="141" spans="1:2" x14ac:dyDescent="0.25">
      <c r="A141" s="10" t="s">
        <v>226</v>
      </c>
      <c r="B141" s="15">
        <v>0</v>
      </c>
    </row>
    <row r="142" spans="1:2" x14ac:dyDescent="0.25">
      <c r="A142" s="10" t="s">
        <v>226</v>
      </c>
      <c r="B142" s="15">
        <v>0</v>
      </c>
    </row>
    <row r="143" spans="1:2" x14ac:dyDescent="0.25">
      <c r="A143" s="10" t="s">
        <v>228</v>
      </c>
      <c r="B143" s="15">
        <v>0</v>
      </c>
    </row>
    <row r="144" spans="1:2" x14ac:dyDescent="0.25">
      <c r="A144" s="10" t="s">
        <v>228</v>
      </c>
      <c r="B144" s="15">
        <v>0</v>
      </c>
    </row>
    <row r="145" spans="1:2" x14ac:dyDescent="0.25">
      <c r="A145" s="10" t="s">
        <v>230</v>
      </c>
      <c r="B145" s="15">
        <v>0</v>
      </c>
    </row>
    <row r="146" spans="1:2" x14ac:dyDescent="0.25">
      <c r="A146" s="10" t="s">
        <v>230</v>
      </c>
      <c r="B146" s="15">
        <v>0</v>
      </c>
    </row>
    <row r="147" spans="1:2" x14ac:dyDescent="0.25">
      <c r="A147" s="10" t="s">
        <v>232</v>
      </c>
      <c r="B147" s="15">
        <v>0</v>
      </c>
    </row>
    <row r="148" spans="1:2" x14ac:dyDescent="0.25">
      <c r="A148" s="10" t="s">
        <v>232</v>
      </c>
      <c r="B148" s="15">
        <v>0</v>
      </c>
    </row>
    <row r="149" spans="1:2" x14ac:dyDescent="0.25">
      <c r="A149" s="10" t="s">
        <v>234</v>
      </c>
      <c r="B149" s="15">
        <v>0</v>
      </c>
    </row>
    <row r="150" spans="1:2" x14ac:dyDescent="0.25">
      <c r="A150" s="10" t="s">
        <v>234</v>
      </c>
      <c r="B150" s="15">
        <v>0</v>
      </c>
    </row>
    <row r="151" spans="1:2" x14ac:dyDescent="0.25">
      <c r="A151" s="10" t="s">
        <v>236</v>
      </c>
      <c r="B151" s="15">
        <v>0</v>
      </c>
    </row>
    <row r="152" spans="1:2" x14ac:dyDescent="0.25">
      <c r="A152" s="10" t="s">
        <v>236</v>
      </c>
      <c r="B152" s="15">
        <v>0</v>
      </c>
    </row>
    <row r="153" spans="1:2" x14ac:dyDescent="0.25">
      <c r="A153" s="10" t="s">
        <v>238</v>
      </c>
      <c r="B153" s="15">
        <v>0</v>
      </c>
    </row>
    <row r="154" spans="1:2" x14ac:dyDescent="0.25">
      <c r="A154" s="10" t="s">
        <v>238</v>
      </c>
      <c r="B154" s="15">
        <v>0</v>
      </c>
    </row>
    <row r="155" spans="1:2" x14ac:dyDescent="0.25">
      <c r="A155" s="10" t="s">
        <v>240</v>
      </c>
      <c r="B155" s="15">
        <v>0</v>
      </c>
    </row>
    <row r="156" spans="1:2" x14ac:dyDescent="0.25">
      <c r="A156" s="10" t="s">
        <v>240</v>
      </c>
      <c r="B156" s="15">
        <v>0</v>
      </c>
    </row>
    <row r="157" spans="1:2" x14ac:dyDescent="0.25">
      <c r="A157" s="10" t="s">
        <v>242</v>
      </c>
      <c r="B157" s="15">
        <v>0</v>
      </c>
    </row>
    <row r="158" spans="1:2" x14ac:dyDescent="0.25">
      <c r="A158" s="10" t="s">
        <v>242</v>
      </c>
      <c r="B158" s="15">
        <v>0</v>
      </c>
    </row>
    <row r="159" spans="1:2" x14ac:dyDescent="0.25">
      <c r="A159" s="10" t="s">
        <v>244</v>
      </c>
      <c r="B159" s="15">
        <v>0</v>
      </c>
    </row>
    <row r="160" spans="1:2" x14ac:dyDescent="0.25">
      <c r="A160" s="10" t="s">
        <v>244</v>
      </c>
      <c r="B160" s="15">
        <v>0</v>
      </c>
    </row>
    <row r="161" spans="1:2" x14ac:dyDescent="0.25">
      <c r="A161" s="10" t="s">
        <v>246</v>
      </c>
      <c r="B161" s="15">
        <v>0</v>
      </c>
    </row>
    <row r="162" spans="1:2" x14ac:dyDescent="0.25">
      <c r="A162" s="10" t="s">
        <v>246</v>
      </c>
      <c r="B162" s="15">
        <v>0</v>
      </c>
    </row>
    <row r="163" spans="1:2" x14ac:dyDescent="0.25">
      <c r="A163" s="10" t="s">
        <v>248</v>
      </c>
      <c r="B163" s="15">
        <v>0</v>
      </c>
    </row>
    <row r="164" spans="1:2" x14ac:dyDescent="0.25">
      <c r="A164" s="10" t="s">
        <v>248</v>
      </c>
      <c r="B164" s="15">
        <v>0</v>
      </c>
    </row>
    <row r="165" spans="1:2" x14ac:dyDescent="0.25">
      <c r="A165" s="10" t="s">
        <v>250</v>
      </c>
      <c r="B165" s="15">
        <v>0</v>
      </c>
    </row>
    <row r="166" spans="1:2" x14ac:dyDescent="0.25">
      <c r="A166" s="10" t="s">
        <v>250</v>
      </c>
      <c r="B166" s="15">
        <v>0</v>
      </c>
    </row>
    <row r="167" spans="1:2" x14ac:dyDescent="0.25">
      <c r="A167" s="10" t="s">
        <v>252</v>
      </c>
      <c r="B167" s="15">
        <v>0</v>
      </c>
    </row>
    <row r="168" spans="1:2" x14ac:dyDescent="0.25">
      <c r="A168" s="10" t="s">
        <v>252</v>
      </c>
      <c r="B168" s="15">
        <v>0</v>
      </c>
    </row>
    <row r="169" spans="1:2" x14ac:dyDescent="0.25">
      <c r="A169" s="10" t="s">
        <v>254</v>
      </c>
      <c r="B169" s="15">
        <v>0</v>
      </c>
    </row>
    <row r="170" spans="1:2" x14ac:dyDescent="0.25">
      <c r="A170" s="10" t="s">
        <v>254</v>
      </c>
      <c r="B170" s="15">
        <v>0</v>
      </c>
    </row>
    <row r="171" spans="1:2" x14ac:dyDescent="0.25">
      <c r="A171" s="10" t="s">
        <v>256</v>
      </c>
      <c r="B171" s="15">
        <v>0</v>
      </c>
    </row>
    <row r="172" spans="1:2" x14ac:dyDescent="0.25">
      <c r="A172" s="10" t="s">
        <v>256</v>
      </c>
      <c r="B172" s="15">
        <v>0</v>
      </c>
    </row>
    <row r="173" spans="1:2" x14ac:dyDescent="0.25">
      <c r="A173" s="10" t="s">
        <v>258</v>
      </c>
      <c r="B173" s="15">
        <v>0</v>
      </c>
    </row>
    <row r="174" spans="1:2" x14ac:dyDescent="0.25">
      <c r="A174" s="10" t="s">
        <v>258</v>
      </c>
      <c r="B174" s="15">
        <v>0</v>
      </c>
    </row>
    <row r="175" spans="1:2" x14ac:dyDescent="0.25">
      <c r="A175" s="10" t="s">
        <v>260</v>
      </c>
      <c r="B175" s="15">
        <v>0</v>
      </c>
    </row>
    <row r="176" spans="1:2" x14ac:dyDescent="0.25">
      <c r="A176" s="10" t="s">
        <v>260</v>
      </c>
      <c r="B176" s="15">
        <v>0</v>
      </c>
    </row>
    <row r="177" spans="1:2" x14ac:dyDescent="0.25">
      <c r="A177" s="10" t="s">
        <v>262</v>
      </c>
      <c r="B177" s="15">
        <v>0</v>
      </c>
    </row>
    <row r="178" spans="1:2" x14ac:dyDescent="0.25">
      <c r="A178" s="10" t="s">
        <v>262</v>
      </c>
      <c r="B178" s="15">
        <v>0</v>
      </c>
    </row>
    <row r="179" spans="1:2" x14ac:dyDescent="0.25">
      <c r="A179" s="10" t="s">
        <v>264</v>
      </c>
      <c r="B179" s="15">
        <v>0</v>
      </c>
    </row>
    <row r="180" spans="1:2" x14ac:dyDescent="0.25">
      <c r="A180" s="10" t="s">
        <v>264</v>
      </c>
      <c r="B180" s="15">
        <v>0</v>
      </c>
    </row>
    <row r="181" spans="1:2" x14ac:dyDescent="0.25">
      <c r="A181" s="10" t="s">
        <v>266</v>
      </c>
      <c r="B181" s="15">
        <v>0</v>
      </c>
    </row>
    <row r="182" spans="1:2" x14ac:dyDescent="0.25">
      <c r="A182" s="10" t="s">
        <v>266</v>
      </c>
      <c r="B182" s="15">
        <v>0</v>
      </c>
    </row>
    <row r="183" spans="1:2" x14ac:dyDescent="0.25">
      <c r="A183" s="10" t="s">
        <v>268</v>
      </c>
      <c r="B183" s="15">
        <v>0</v>
      </c>
    </row>
    <row r="184" spans="1:2" x14ac:dyDescent="0.25">
      <c r="A184" s="10" t="s">
        <v>268</v>
      </c>
      <c r="B184" s="15">
        <v>0</v>
      </c>
    </row>
    <row r="185" spans="1:2" x14ac:dyDescent="0.25">
      <c r="A185" s="10" t="s">
        <v>270</v>
      </c>
      <c r="B185" s="15">
        <v>0</v>
      </c>
    </row>
    <row r="186" spans="1:2" x14ac:dyDescent="0.25">
      <c r="A186" s="10" t="s">
        <v>270</v>
      </c>
      <c r="B186" s="15">
        <v>0</v>
      </c>
    </row>
    <row r="187" spans="1:2" x14ac:dyDescent="0.25">
      <c r="A187" s="10" t="s">
        <v>272</v>
      </c>
      <c r="B187" s="15">
        <v>0</v>
      </c>
    </row>
    <row r="188" spans="1:2" x14ac:dyDescent="0.25">
      <c r="A188" s="10" t="s">
        <v>272</v>
      </c>
      <c r="B188" s="15">
        <v>0</v>
      </c>
    </row>
    <row r="189" spans="1:2" x14ac:dyDescent="0.25">
      <c r="A189" s="10" t="s">
        <v>274</v>
      </c>
      <c r="B189" s="15">
        <v>0</v>
      </c>
    </row>
    <row r="190" spans="1:2" x14ac:dyDescent="0.25">
      <c r="A190" s="10" t="s">
        <v>274</v>
      </c>
      <c r="B190" s="15">
        <v>0</v>
      </c>
    </row>
    <row r="191" spans="1:2" x14ac:dyDescent="0.25">
      <c r="A191" s="10" t="s">
        <v>276</v>
      </c>
      <c r="B191" s="15">
        <v>0</v>
      </c>
    </row>
    <row r="192" spans="1:2" x14ac:dyDescent="0.25">
      <c r="A192" s="10" t="s">
        <v>276</v>
      </c>
      <c r="B192" s="15">
        <v>0</v>
      </c>
    </row>
    <row r="193" spans="1:2" x14ac:dyDescent="0.25">
      <c r="A193" s="10" t="s">
        <v>278</v>
      </c>
      <c r="B193" s="15">
        <v>0</v>
      </c>
    </row>
    <row r="194" spans="1:2" x14ac:dyDescent="0.25">
      <c r="A194" s="10" t="s">
        <v>278</v>
      </c>
      <c r="B194" s="15">
        <v>0</v>
      </c>
    </row>
    <row r="195" spans="1:2" x14ac:dyDescent="0.25">
      <c r="A195" s="10" t="s">
        <v>280</v>
      </c>
      <c r="B195" s="15">
        <v>0</v>
      </c>
    </row>
    <row r="196" spans="1:2" x14ac:dyDescent="0.25">
      <c r="A196" s="10" t="s">
        <v>280</v>
      </c>
      <c r="B196" s="15">
        <v>0</v>
      </c>
    </row>
    <row r="197" spans="1:2" x14ac:dyDescent="0.25">
      <c r="A197" s="10" t="s">
        <v>282</v>
      </c>
      <c r="B197" s="15">
        <v>0</v>
      </c>
    </row>
    <row r="198" spans="1:2" x14ac:dyDescent="0.25">
      <c r="A198" s="10" t="s">
        <v>282</v>
      </c>
      <c r="B198" s="15">
        <v>0</v>
      </c>
    </row>
    <row r="199" spans="1:2" x14ac:dyDescent="0.25">
      <c r="A199" s="10" t="s">
        <v>284</v>
      </c>
      <c r="B199" s="15">
        <v>0</v>
      </c>
    </row>
    <row r="200" spans="1:2" x14ac:dyDescent="0.25">
      <c r="A200" s="10" t="s">
        <v>284</v>
      </c>
      <c r="B200" s="15">
        <v>0</v>
      </c>
    </row>
    <row r="201" spans="1:2" x14ac:dyDescent="0.25">
      <c r="A201" s="10" t="s">
        <v>286</v>
      </c>
      <c r="B201" s="15">
        <v>0</v>
      </c>
    </row>
    <row r="202" spans="1:2" x14ac:dyDescent="0.25">
      <c r="A202" s="10" t="s">
        <v>286</v>
      </c>
      <c r="B202" s="15">
        <v>0</v>
      </c>
    </row>
    <row r="203" spans="1:2" x14ac:dyDescent="0.25">
      <c r="A203" s="10" t="s">
        <v>288</v>
      </c>
      <c r="B203" s="15">
        <v>0</v>
      </c>
    </row>
    <row r="204" spans="1:2" x14ac:dyDescent="0.25">
      <c r="A204" s="10" t="s">
        <v>288</v>
      </c>
      <c r="B204" s="15">
        <v>0</v>
      </c>
    </row>
    <row r="205" spans="1:2" x14ac:dyDescent="0.25">
      <c r="A205" s="10" t="s">
        <v>290</v>
      </c>
      <c r="B205" s="15">
        <v>0</v>
      </c>
    </row>
    <row r="206" spans="1:2" x14ac:dyDescent="0.25">
      <c r="A206" s="10" t="s">
        <v>290</v>
      </c>
      <c r="B206" s="15">
        <v>0</v>
      </c>
    </row>
    <row r="207" spans="1:2" x14ac:dyDescent="0.25">
      <c r="A207" s="10" t="s">
        <v>292</v>
      </c>
      <c r="B207" s="15">
        <v>0</v>
      </c>
    </row>
    <row r="208" spans="1:2" x14ac:dyDescent="0.25">
      <c r="A208" s="10" t="s">
        <v>292</v>
      </c>
      <c r="B208" s="15">
        <v>0</v>
      </c>
    </row>
    <row r="209" spans="1:2" x14ac:dyDescent="0.25">
      <c r="A209" s="10" t="s">
        <v>294</v>
      </c>
      <c r="B209" s="15">
        <v>0</v>
      </c>
    </row>
    <row r="210" spans="1:2" x14ac:dyDescent="0.25">
      <c r="A210" s="10" t="s">
        <v>294</v>
      </c>
      <c r="B210" s="15">
        <v>0</v>
      </c>
    </row>
    <row r="211" spans="1:2" x14ac:dyDescent="0.25">
      <c r="A211" s="10" t="s">
        <v>296</v>
      </c>
      <c r="B211" s="15">
        <v>0</v>
      </c>
    </row>
    <row r="212" spans="1:2" x14ac:dyDescent="0.25">
      <c r="A212" s="10" t="s">
        <v>296</v>
      </c>
      <c r="B212" s="15">
        <v>0</v>
      </c>
    </row>
    <row r="213" spans="1:2" x14ac:dyDescent="0.25">
      <c r="A213" s="10" t="s">
        <v>298</v>
      </c>
      <c r="B213" s="15">
        <v>0</v>
      </c>
    </row>
    <row r="214" spans="1:2" x14ac:dyDescent="0.25">
      <c r="A214" s="10" t="s">
        <v>298</v>
      </c>
      <c r="B214" s="15">
        <v>0</v>
      </c>
    </row>
    <row r="215" spans="1:2" x14ac:dyDescent="0.25">
      <c r="A215" s="10" t="s">
        <v>300</v>
      </c>
      <c r="B215" s="15">
        <v>0</v>
      </c>
    </row>
    <row r="216" spans="1:2" x14ac:dyDescent="0.25">
      <c r="A216" s="10" t="s">
        <v>300</v>
      </c>
      <c r="B216" s="15">
        <v>0</v>
      </c>
    </row>
    <row r="217" spans="1:2" x14ac:dyDescent="0.25">
      <c r="A217" s="10" t="s">
        <v>302</v>
      </c>
      <c r="B217" s="15">
        <v>0</v>
      </c>
    </row>
    <row r="218" spans="1:2" x14ac:dyDescent="0.25">
      <c r="A218" s="10" t="s">
        <v>302</v>
      </c>
      <c r="B218" s="15">
        <v>0</v>
      </c>
    </row>
    <row r="219" spans="1:2" x14ac:dyDescent="0.25">
      <c r="A219" s="10" t="s">
        <v>304</v>
      </c>
      <c r="B219" s="15">
        <v>0</v>
      </c>
    </row>
    <row r="220" spans="1:2" x14ac:dyDescent="0.25">
      <c r="A220" s="10" t="s">
        <v>304</v>
      </c>
      <c r="B220" s="15">
        <v>0</v>
      </c>
    </row>
    <row r="221" spans="1:2" x14ac:dyDescent="0.25">
      <c r="A221" s="10" t="s">
        <v>306</v>
      </c>
      <c r="B221" s="15">
        <v>0</v>
      </c>
    </row>
    <row r="222" spans="1:2" x14ac:dyDescent="0.25">
      <c r="A222" s="10" t="s">
        <v>306</v>
      </c>
      <c r="B222" s="15">
        <v>0</v>
      </c>
    </row>
    <row r="223" spans="1:2" x14ac:dyDescent="0.25">
      <c r="A223" s="10" t="s">
        <v>308</v>
      </c>
      <c r="B223" s="15">
        <v>0</v>
      </c>
    </row>
    <row r="224" spans="1:2" x14ac:dyDescent="0.25">
      <c r="A224" s="10" t="s">
        <v>308</v>
      </c>
      <c r="B224" s="15">
        <v>0</v>
      </c>
    </row>
    <row r="225" spans="1:2" x14ac:dyDescent="0.25">
      <c r="A225" s="10" t="s">
        <v>310</v>
      </c>
      <c r="B225" s="15">
        <v>0</v>
      </c>
    </row>
    <row r="226" spans="1:2" x14ac:dyDescent="0.25">
      <c r="A226" s="10" t="s">
        <v>310</v>
      </c>
      <c r="B226" s="15">
        <v>0</v>
      </c>
    </row>
    <row r="227" spans="1:2" x14ac:dyDescent="0.25">
      <c r="A227" s="10" t="s">
        <v>312</v>
      </c>
      <c r="B227" s="15">
        <v>0</v>
      </c>
    </row>
    <row r="228" spans="1:2" x14ac:dyDescent="0.25">
      <c r="A228" s="10" t="s">
        <v>312</v>
      </c>
      <c r="B228" s="15">
        <v>0</v>
      </c>
    </row>
    <row r="229" spans="1:2" x14ac:dyDescent="0.25">
      <c r="A229" s="10" t="s">
        <v>314</v>
      </c>
      <c r="B229" s="15">
        <v>0</v>
      </c>
    </row>
    <row r="230" spans="1:2" x14ac:dyDescent="0.25">
      <c r="A230" s="10" t="s">
        <v>314</v>
      </c>
      <c r="B230" s="15">
        <v>0</v>
      </c>
    </row>
    <row r="231" spans="1:2" x14ac:dyDescent="0.25">
      <c r="A231" s="10" t="s">
        <v>316</v>
      </c>
      <c r="B231" s="15">
        <v>0</v>
      </c>
    </row>
    <row r="232" spans="1:2" x14ac:dyDescent="0.25">
      <c r="A232" s="10" t="s">
        <v>316</v>
      </c>
      <c r="B232" s="15">
        <v>0</v>
      </c>
    </row>
    <row r="233" spans="1:2" x14ac:dyDescent="0.25">
      <c r="A233" s="10" t="s">
        <v>318</v>
      </c>
      <c r="B233" s="15">
        <v>0</v>
      </c>
    </row>
    <row r="234" spans="1:2" x14ac:dyDescent="0.25">
      <c r="A234" s="10" t="s">
        <v>318</v>
      </c>
      <c r="B234" s="15">
        <v>0</v>
      </c>
    </row>
    <row r="235" spans="1:2" x14ac:dyDescent="0.25">
      <c r="A235" s="10" t="s">
        <v>320</v>
      </c>
      <c r="B235" s="15">
        <v>0</v>
      </c>
    </row>
    <row r="236" spans="1:2" x14ac:dyDescent="0.25">
      <c r="A236" s="10" t="s">
        <v>320</v>
      </c>
      <c r="B236" s="15">
        <v>0</v>
      </c>
    </row>
    <row r="237" spans="1:2" x14ac:dyDescent="0.25">
      <c r="A237" s="10" t="s">
        <v>322</v>
      </c>
      <c r="B237" s="15">
        <v>0</v>
      </c>
    </row>
    <row r="238" spans="1:2" x14ac:dyDescent="0.25">
      <c r="A238" s="10" t="s">
        <v>322</v>
      </c>
      <c r="B238" s="15">
        <v>0</v>
      </c>
    </row>
    <row r="239" spans="1:2" x14ac:dyDescent="0.25">
      <c r="A239" s="10" t="s">
        <v>324</v>
      </c>
      <c r="B239" s="15">
        <v>0</v>
      </c>
    </row>
    <row r="240" spans="1:2" x14ac:dyDescent="0.25">
      <c r="A240" s="10" t="s">
        <v>324</v>
      </c>
      <c r="B240" s="15">
        <v>0</v>
      </c>
    </row>
    <row r="241" spans="1:2" x14ac:dyDescent="0.25">
      <c r="A241" s="10" t="s">
        <v>326</v>
      </c>
      <c r="B241" s="15">
        <v>0</v>
      </c>
    </row>
    <row r="242" spans="1:2" x14ac:dyDescent="0.25">
      <c r="A242" s="10" t="s">
        <v>326</v>
      </c>
      <c r="B242" s="15">
        <v>0</v>
      </c>
    </row>
    <row r="243" spans="1:2" x14ac:dyDescent="0.25">
      <c r="A243" s="10" t="s">
        <v>328</v>
      </c>
      <c r="B243" s="15">
        <v>0</v>
      </c>
    </row>
    <row r="244" spans="1:2" x14ac:dyDescent="0.25">
      <c r="A244" s="10" t="s">
        <v>328</v>
      </c>
      <c r="B244" s="15">
        <v>0</v>
      </c>
    </row>
    <row r="245" spans="1:2" x14ac:dyDescent="0.25">
      <c r="A245" s="10" t="s">
        <v>330</v>
      </c>
      <c r="B245" s="15">
        <v>0</v>
      </c>
    </row>
    <row r="246" spans="1:2" x14ac:dyDescent="0.25">
      <c r="A246" s="10" t="s">
        <v>330</v>
      </c>
      <c r="B246" s="15">
        <v>0</v>
      </c>
    </row>
    <row r="247" spans="1:2" x14ac:dyDescent="0.25">
      <c r="A247" s="10" t="s">
        <v>332</v>
      </c>
      <c r="B247" s="15">
        <v>0</v>
      </c>
    </row>
    <row r="248" spans="1:2" x14ac:dyDescent="0.25">
      <c r="A248" s="10" t="s">
        <v>332</v>
      </c>
      <c r="B248" s="15">
        <v>0</v>
      </c>
    </row>
    <row r="249" spans="1:2" x14ac:dyDescent="0.25">
      <c r="A249" s="10" t="s">
        <v>334</v>
      </c>
      <c r="B249" s="15">
        <v>0</v>
      </c>
    </row>
    <row r="250" spans="1:2" x14ac:dyDescent="0.25">
      <c r="A250" s="10" t="s">
        <v>334</v>
      </c>
      <c r="B250" s="15">
        <v>0</v>
      </c>
    </row>
    <row r="251" spans="1:2" x14ac:dyDescent="0.25">
      <c r="A251" s="10" t="s">
        <v>336</v>
      </c>
      <c r="B251" s="15">
        <v>0</v>
      </c>
    </row>
    <row r="252" spans="1:2" x14ac:dyDescent="0.25">
      <c r="A252" s="10" t="s">
        <v>336</v>
      </c>
      <c r="B252" s="15">
        <v>0</v>
      </c>
    </row>
    <row r="253" spans="1:2" x14ac:dyDescent="0.25">
      <c r="A253" s="10" t="s">
        <v>338</v>
      </c>
      <c r="B253" s="15">
        <v>0</v>
      </c>
    </row>
    <row r="254" spans="1:2" x14ac:dyDescent="0.25">
      <c r="A254" s="10" t="s">
        <v>338</v>
      </c>
      <c r="B254" s="15">
        <v>0</v>
      </c>
    </row>
    <row r="255" spans="1:2" x14ac:dyDescent="0.25">
      <c r="A255" s="10" t="s">
        <v>340</v>
      </c>
      <c r="B255" s="15">
        <v>0</v>
      </c>
    </row>
    <row r="256" spans="1:2" x14ac:dyDescent="0.25">
      <c r="A256" s="10" t="s">
        <v>340</v>
      </c>
      <c r="B256" s="15">
        <v>0</v>
      </c>
    </row>
    <row r="257" spans="1:2" x14ac:dyDescent="0.25">
      <c r="A257" s="10" t="s">
        <v>342</v>
      </c>
      <c r="B257" s="15">
        <v>0</v>
      </c>
    </row>
    <row r="258" spans="1:2" x14ac:dyDescent="0.25">
      <c r="A258" s="10" t="s">
        <v>342</v>
      </c>
      <c r="B258" s="15">
        <v>0</v>
      </c>
    </row>
    <row r="259" spans="1:2" x14ac:dyDescent="0.25">
      <c r="A259" s="10" t="s">
        <v>344</v>
      </c>
      <c r="B259" s="15">
        <v>0</v>
      </c>
    </row>
    <row r="260" spans="1:2" x14ac:dyDescent="0.25">
      <c r="A260" s="10" t="s">
        <v>344</v>
      </c>
      <c r="B260" s="15">
        <v>0</v>
      </c>
    </row>
    <row r="261" spans="1:2" x14ac:dyDescent="0.25">
      <c r="A261" s="10" t="s">
        <v>346</v>
      </c>
      <c r="B261" s="15">
        <v>0</v>
      </c>
    </row>
    <row r="262" spans="1:2" x14ac:dyDescent="0.25">
      <c r="A262" s="10" t="s">
        <v>346</v>
      </c>
      <c r="B262" s="15">
        <v>0</v>
      </c>
    </row>
    <row r="263" spans="1:2" x14ac:dyDescent="0.25">
      <c r="A263" s="10" t="s">
        <v>348</v>
      </c>
      <c r="B263" s="15">
        <v>0</v>
      </c>
    </row>
    <row r="264" spans="1:2" x14ac:dyDescent="0.25">
      <c r="A264" s="10" t="s">
        <v>348</v>
      </c>
      <c r="B264" s="15">
        <v>0</v>
      </c>
    </row>
    <row r="265" spans="1:2" x14ac:dyDescent="0.25">
      <c r="A265" s="10" t="s">
        <v>350</v>
      </c>
      <c r="B265" s="15">
        <v>0</v>
      </c>
    </row>
    <row r="266" spans="1:2" x14ac:dyDescent="0.25">
      <c r="A266" s="10" t="s">
        <v>350</v>
      </c>
      <c r="B266" s="15">
        <v>0</v>
      </c>
    </row>
    <row r="267" spans="1:2" x14ac:dyDescent="0.25">
      <c r="A267" s="10" t="s">
        <v>352</v>
      </c>
      <c r="B267" s="15">
        <v>0</v>
      </c>
    </row>
    <row r="268" spans="1:2" x14ac:dyDescent="0.25">
      <c r="A268" s="10" t="s">
        <v>352</v>
      </c>
      <c r="B268" s="15">
        <v>0</v>
      </c>
    </row>
    <row r="269" spans="1:2" x14ac:dyDescent="0.25">
      <c r="A269" s="10" t="s">
        <v>354</v>
      </c>
      <c r="B269" s="15">
        <v>0</v>
      </c>
    </row>
    <row r="270" spans="1:2" x14ac:dyDescent="0.25">
      <c r="A270" s="10" t="s">
        <v>354</v>
      </c>
      <c r="B270" s="15">
        <v>0</v>
      </c>
    </row>
    <row r="271" spans="1:2" x14ac:dyDescent="0.25">
      <c r="A271" s="10" t="s">
        <v>356</v>
      </c>
      <c r="B271" s="15">
        <v>0</v>
      </c>
    </row>
    <row r="272" spans="1:2" x14ac:dyDescent="0.25">
      <c r="A272" s="10" t="s">
        <v>356</v>
      </c>
      <c r="B272" s="15">
        <v>0</v>
      </c>
    </row>
    <row r="273" spans="1:2" x14ac:dyDescent="0.25">
      <c r="A273" s="10" t="s">
        <v>358</v>
      </c>
      <c r="B273" s="15">
        <v>0</v>
      </c>
    </row>
    <row r="274" spans="1:2" x14ac:dyDescent="0.25">
      <c r="A274" s="10" t="s">
        <v>358</v>
      </c>
      <c r="B274" s="15">
        <v>0</v>
      </c>
    </row>
    <row r="275" spans="1:2" x14ac:dyDescent="0.25">
      <c r="A275" s="10" t="s">
        <v>360</v>
      </c>
      <c r="B275" s="15">
        <v>0</v>
      </c>
    </row>
    <row r="276" spans="1:2" x14ac:dyDescent="0.25">
      <c r="A276" s="10" t="s">
        <v>360</v>
      </c>
      <c r="B276" s="15">
        <v>0</v>
      </c>
    </row>
    <row r="277" spans="1:2" x14ac:dyDescent="0.25">
      <c r="A277" s="10" t="s">
        <v>362</v>
      </c>
      <c r="B277" s="15">
        <v>0</v>
      </c>
    </row>
    <row r="278" spans="1:2" x14ac:dyDescent="0.25">
      <c r="A278" s="10" t="s">
        <v>362</v>
      </c>
      <c r="B278" s="15">
        <v>0</v>
      </c>
    </row>
    <row r="279" spans="1:2" x14ac:dyDescent="0.25">
      <c r="A279" s="10" t="s">
        <v>364</v>
      </c>
      <c r="B279" s="15">
        <v>0</v>
      </c>
    </row>
    <row r="280" spans="1:2" x14ac:dyDescent="0.25">
      <c r="A280" s="10" t="s">
        <v>364</v>
      </c>
      <c r="B280" s="15">
        <v>0</v>
      </c>
    </row>
    <row r="281" spans="1:2" x14ac:dyDescent="0.25">
      <c r="A281" s="10" t="s">
        <v>366</v>
      </c>
      <c r="B281" s="15">
        <v>0</v>
      </c>
    </row>
    <row r="282" spans="1:2" x14ac:dyDescent="0.25">
      <c r="A282" s="10" t="s">
        <v>366</v>
      </c>
      <c r="B282" s="15">
        <v>0</v>
      </c>
    </row>
    <row r="283" spans="1:2" x14ac:dyDescent="0.25">
      <c r="A283" s="10" t="s">
        <v>368</v>
      </c>
      <c r="B283" s="15">
        <v>0</v>
      </c>
    </row>
    <row r="284" spans="1:2" x14ac:dyDescent="0.25">
      <c r="A284" s="10" t="s">
        <v>368</v>
      </c>
      <c r="B284" s="15">
        <v>0</v>
      </c>
    </row>
    <row r="285" spans="1:2" x14ac:dyDescent="0.25">
      <c r="A285" s="10" t="s">
        <v>370</v>
      </c>
      <c r="B285" s="15">
        <v>0</v>
      </c>
    </row>
    <row r="286" spans="1:2" x14ac:dyDescent="0.25">
      <c r="A286" s="10" t="s">
        <v>370</v>
      </c>
      <c r="B286" s="15">
        <v>0</v>
      </c>
    </row>
    <row r="287" spans="1:2" x14ac:dyDescent="0.25">
      <c r="A287" s="10" t="s">
        <v>372</v>
      </c>
      <c r="B287" s="15">
        <v>0</v>
      </c>
    </row>
    <row r="288" spans="1:2" x14ac:dyDescent="0.25">
      <c r="A288" s="10" t="s">
        <v>372</v>
      </c>
      <c r="B288" s="15">
        <v>0</v>
      </c>
    </row>
    <row r="289" spans="1:2" x14ac:dyDescent="0.25">
      <c r="A289" s="10" t="s">
        <v>374</v>
      </c>
      <c r="B289" s="15">
        <v>0</v>
      </c>
    </row>
    <row r="290" spans="1:2" x14ac:dyDescent="0.25">
      <c r="A290" s="10" t="s">
        <v>374</v>
      </c>
      <c r="B290" s="15">
        <v>0</v>
      </c>
    </row>
    <row r="291" spans="1:2" x14ac:dyDescent="0.25">
      <c r="A291" s="10" t="s">
        <v>376</v>
      </c>
      <c r="B291" s="15">
        <v>0</v>
      </c>
    </row>
    <row r="292" spans="1:2" x14ac:dyDescent="0.25">
      <c r="A292" s="10" t="s">
        <v>376</v>
      </c>
      <c r="B292" s="15">
        <v>0</v>
      </c>
    </row>
    <row r="293" spans="1:2" x14ac:dyDescent="0.25">
      <c r="A293" s="10" t="s">
        <v>378</v>
      </c>
      <c r="B293" s="15">
        <v>0</v>
      </c>
    </row>
    <row r="294" spans="1:2" x14ac:dyDescent="0.25">
      <c r="A294" s="10" t="s">
        <v>378</v>
      </c>
      <c r="B294" s="15">
        <v>0</v>
      </c>
    </row>
    <row r="295" spans="1:2" x14ac:dyDescent="0.25">
      <c r="A295" s="10" t="s">
        <v>380</v>
      </c>
      <c r="B295" s="15">
        <v>0</v>
      </c>
    </row>
    <row r="296" spans="1:2" x14ac:dyDescent="0.25">
      <c r="A296" s="10" t="s">
        <v>380</v>
      </c>
      <c r="B296" s="15">
        <v>0</v>
      </c>
    </row>
    <row r="297" spans="1:2" x14ac:dyDescent="0.25">
      <c r="A297" s="10" t="s">
        <v>382</v>
      </c>
      <c r="B297" s="15">
        <v>0</v>
      </c>
    </row>
    <row r="298" spans="1:2" x14ac:dyDescent="0.25">
      <c r="A298" s="10" t="s">
        <v>382</v>
      </c>
      <c r="B298" s="15">
        <v>0</v>
      </c>
    </row>
    <row r="299" spans="1:2" x14ac:dyDescent="0.25">
      <c r="A299" s="10" t="s">
        <v>384</v>
      </c>
      <c r="B299" s="15">
        <v>0</v>
      </c>
    </row>
    <row r="300" spans="1:2" x14ac:dyDescent="0.25">
      <c r="A300" s="10" t="s">
        <v>384</v>
      </c>
      <c r="B300" s="15">
        <v>0</v>
      </c>
    </row>
    <row r="301" spans="1:2" x14ac:dyDescent="0.25">
      <c r="A301" s="10" t="s">
        <v>386</v>
      </c>
      <c r="B301" s="15">
        <v>0</v>
      </c>
    </row>
    <row r="302" spans="1:2" x14ac:dyDescent="0.25">
      <c r="A302" s="10" t="s">
        <v>386</v>
      </c>
      <c r="B302" s="15">
        <v>0</v>
      </c>
    </row>
    <row r="303" spans="1:2" x14ac:dyDescent="0.25">
      <c r="A303" s="10" t="s">
        <v>388</v>
      </c>
      <c r="B303" s="15">
        <v>0</v>
      </c>
    </row>
    <row r="304" spans="1:2" x14ac:dyDescent="0.25">
      <c r="A304" s="10" t="s">
        <v>388</v>
      </c>
      <c r="B304" s="15">
        <v>0</v>
      </c>
    </row>
    <row r="305" spans="1:2" x14ac:dyDescent="0.25">
      <c r="A305" s="10" t="s">
        <v>390</v>
      </c>
      <c r="B305" s="15">
        <v>0</v>
      </c>
    </row>
    <row r="306" spans="1:2" x14ac:dyDescent="0.25">
      <c r="A306" s="10" t="s">
        <v>390</v>
      </c>
      <c r="B306" s="15">
        <v>0</v>
      </c>
    </row>
    <row r="307" spans="1:2" x14ac:dyDescent="0.25">
      <c r="A307" s="10" t="s">
        <v>392</v>
      </c>
      <c r="B307" s="15">
        <v>0</v>
      </c>
    </row>
    <row r="308" spans="1:2" x14ac:dyDescent="0.25">
      <c r="A308" s="10" t="s">
        <v>392</v>
      </c>
      <c r="B308" s="15">
        <v>0</v>
      </c>
    </row>
    <row r="309" spans="1:2" x14ac:dyDescent="0.25">
      <c r="A309" s="10" t="s">
        <v>394</v>
      </c>
      <c r="B309" s="15">
        <v>0</v>
      </c>
    </row>
    <row r="310" spans="1:2" x14ac:dyDescent="0.25">
      <c r="A310" s="10" t="s">
        <v>394</v>
      </c>
      <c r="B310" s="15">
        <v>0</v>
      </c>
    </row>
    <row r="311" spans="1:2" x14ac:dyDescent="0.25">
      <c r="A311" s="10" t="s">
        <v>396</v>
      </c>
      <c r="B311" s="15">
        <v>0</v>
      </c>
    </row>
    <row r="312" spans="1:2" x14ac:dyDescent="0.25">
      <c r="A312" s="10" t="s">
        <v>396</v>
      </c>
      <c r="B312" s="15">
        <v>0</v>
      </c>
    </row>
    <row r="313" spans="1:2" x14ac:dyDescent="0.25">
      <c r="A313" s="10" t="s">
        <v>398</v>
      </c>
      <c r="B313" s="15">
        <v>0</v>
      </c>
    </row>
    <row r="314" spans="1:2" x14ac:dyDescent="0.25">
      <c r="A314" s="10" t="s">
        <v>398</v>
      </c>
      <c r="B314" s="15">
        <v>0</v>
      </c>
    </row>
    <row r="315" spans="1:2" x14ac:dyDescent="0.25">
      <c r="A315" s="10" t="s">
        <v>400</v>
      </c>
      <c r="B315" s="15">
        <v>0</v>
      </c>
    </row>
    <row r="316" spans="1:2" x14ac:dyDescent="0.25">
      <c r="A316" s="10" t="s">
        <v>400</v>
      </c>
      <c r="B316" s="15">
        <v>0</v>
      </c>
    </row>
    <row r="317" spans="1:2" x14ac:dyDescent="0.25">
      <c r="A317" s="10" t="s">
        <v>402</v>
      </c>
      <c r="B317" s="15">
        <v>0</v>
      </c>
    </row>
    <row r="318" spans="1:2" x14ac:dyDescent="0.25">
      <c r="A318" s="10" t="s">
        <v>402</v>
      </c>
      <c r="B318" s="15">
        <v>0</v>
      </c>
    </row>
    <row r="319" spans="1:2" x14ac:dyDescent="0.25">
      <c r="A319" s="10" t="s">
        <v>404</v>
      </c>
      <c r="B319" s="15">
        <v>0</v>
      </c>
    </row>
    <row r="320" spans="1:2" x14ac:dyDescent="0.25">
      <c r="A320" s="10" t="s">
        <v>404</v>
      </c>
      <c r="B320" s="15">
        <v>0</v>
      </c>
    </row>
    <row r="321" spans="1:2" x14ac:dyDescent="0.25">
      <c r="A321" s="10" t="s">
        <v>406</v>
      </c>
      <c r="B321" s="15">
        <v>0</v>
      </c>
    </row>
    <row r="322" spans="1:2" x14ac:dyDescent="0.25">
      <c r="A322" s="10" t="s">
        <v>406</v>
      </c>
      <c r="B322" s="15">
        <v>0</v>
      </c>
    </row>
    <row r="323" spans="1:2" x14ac:dyDescent="0.25">
      <c r="A323" s="10" t="s">
        <v>408</v>
      </c>
      <c r="B323" s="15">
        <v>0</v>
      </c>
    </row>
    <row r="324" spans="1:2" x14ac:dyDescent="0.25">
      <c r="A324" s="10" t="s">
        <v>408</v>
      </c>
      <c r="B324" s="15">
        <v>0</v>
      </c>
    </row>
    <row r="325" spans="1:2" x14ac:dyDescent="0.25">
      <c r="A325" s="10" t="s">
        <v>410</v>
      </c>
      <c r="B325" s="15">
        <v>0</v>
      </c>
    </row>
    <row r="326" spans="1:2" x14ac:dyDescent="0.25">
      <c r="A326" s="10" t="s">
        <v>410</v>
      </c>
      <c r="B326" s="15">
        <v>0</v>
      </c>
    </row>
    <row r="327" spans="1:2" x14ac:dyDescent="0.25">
      <c r="A327" s="10" t="s">
        <v>412</v>
      </c>
      <c r="B327" s="15">
        <v>0</v>
      </c>
    </row>
    <row r="328" spans="1:2" x14ac:dyDescent="0.25">
      <c r="A328" s="10" t="s">
        <v>412</v>
      </c>
      <c r="B328" s="15">
        <v>0</v>
      </c>
    </row>
    <row r="329" spans="1:2" x14ac:dyDescent="0.25">
      <c r="A329" s="10" t="s">
        <v>414</v>
      </c>
      <c r="B329" s="15">
        <v>0</v>
      </c>
    </row>
    <row r="330" spans="1:2" x14ac:dyDescent="0.25">
      <c r="A330" s="10" t="s">
        <v>414</v>
      </c>
      <c r="B330" s="15">
        <v>0</v>
      </c>
    </row>
    <row r="331" spans="1:2" x14ac:dyDescent="0.25">
      <c r="A331" s="10" t="s">
        <v>416</v>
      </c>
      <c r="B331" s="15">
        <v>0</v>
      </c>
    </row>
    <row r="332" spans="1:2" x14ac:dyDescent="0.25">
      <c r="A332" s="10" t="s">
        <v>416</v>
      </c>
      <c r="B332" s="15">
        <v>0</v>
      </c>
    </row>
    <row r="333" spans="1:2" x14ac:dyDescent="0.25">
      <c r="A333" s="10" t="s">
        <v>418</v>
      </c>
      <c r="B333" s="15">
        <v>0</v>
      </c>
    </row>
    <row r="334" spans="1:2" x14ac:dyDescent="0.25">
      <c r="A334" s="10" t="s">
        <v>418</v>
      </c>
      <c r="B334" s="15">
        <v>0</v>
      </c>
    </row>
    <row r="335" spans="1:2" x14ac:dyDescent="0.25">
      <c r="A335" s="10" t="s">
        <v>420</v>
      </c>
      <c r="B335" s="15">
        <v>0</v>
      </c>
    </row>
    <row r="336" spans="1:2" x14ac:dyDescent="0.25">
      <c r="A336" s="10" t="s">
        <v>420</v>
      </c>
      <c r="B336" s="15">
        <v>0</v>
      </c>
    </row>
    <row r="337" spans="1:2" x14ac:dyDescent="0.25">
      <c r="A337" s="10" t="s">
        <v>422</v>
      </c>
      <c r="B337" s="15">
        <v>0</v>
      </c>
    </row>
    <row r="338" spans="1:2" x14ac:dyDescent="0.25">
      <c r="A338" s="10" t="s">
        <v>422</v>
      </c>
      <c r="B338" s="15">
        <v>0</v>
      </c>
    </row>
    <row r="339" spans="1:2" x14ac:dyDescent="0.25">
      <c r="A339" s="10" t="s">
        <v>424</v>
      </c>
      <c r="B339" s="15">
        <v>0</v>
      </c>
    </row>
    <row r="340" spans="1:2" x14ac:dyDescent="0.25">
      <c r="A340" s="10" t="s">
        <v>424</v>
      </c>
      <c r="B340" s="15">
        <v>0</v>
      </c>
    </row>
    <row r="341" spans="1:2" x14ac:dyDescent="0.25">
      <c r="A341" s="10" t="s">
        <v>426</v>
      </c>
      <c r="B341" s="15">
        <v>0</v>
      </c>
    </row>
    <row r="342" spans="1:2" x14ac:dyDescent="0.25">
      <c r="A342" s="10" t="s">
        <v>426</v>
      </c>
      <c r="B342" s="15">
        <v>0</v>
      </c>
    </row>
    <row r="343" spans="1:2" x14ac:dyDescent="0.25">
      <c r="A343" s="10" t="s">
        <v>428</v>
      </c>
      <c r="B343" s="15">
        <v>0</v>
      </c>
    </row>
    <row r="344" spans="1:2" x14ac:dyDescent="0.25">
      <c r="A344" s="10" t="s">
        <v>428</v>
      </c>
      <c r="B344" s="15">
        <v>0</v>
      </c>
    </row>
    <row r="345" spans="1:2" x14ac:dyDescent="0.25">
      <c r="A345" s="10" t="s">
        <v>430</v>
      </c>
      <c r="B345" s="15">
        <v>0</v>
      </c>
    </row>
    <row r="346" spans="1:2" x14ac:dyDescent="0.25">
      <c r="A346" s="10" t="s">
        <v>430</v>
      </c>
      <c r="B346" s="15">
        <v>0</v>
      </c>
    </row>
    <row r="347" spans="1:2" x14ac:dyDescent="0.25">
      <c r="A347" s="10" t="s">
        <v>432</v>
      </c>
      <c r="B347" s="15">
        <v>0</v>
      </c>
    </row>
    <row r="348" spans="1:2" x14ac:dyDescent="0.25">
      <c r="A348" s="10" t="s">
        <v>432</v>
      </c>
      <c r="B348" s="15">
        <v>0</v>
      </c>
    </row>
    <row r="349" spans="1:2" x14ac:dyDescent="0.25">
      <c r="A349" s="10" t="s">
        <v>434</v>
      </c>
      <c r="B349" s="15">
        <v>0</v>
      </c>
    </row>
    <row r="350" spans="1:2" x14ac:dyDescent="0.25">
      <c r="A350" s="10" t="s">
        <v>434</v>
      </c>
      <c r="B350" s="15">
        <v>0</v>
      </c>
    </row>
    <row r="351" spans="1:2" x14ac:dyDescent="0.25">
      <c r="A351" s="10" t="s">
        <v>436</v>
      </c>
      <c r="B351" s="15">
        <v>0</v>
      </c>
    </row>
    <row r="352" spans="1:2" x14ac:dyDescent="0.25">
      <c r="A352" s="10" t="s">
        <v>436</v>
      </c>
      <c r="B352" s="15">
        <v>0</v>
      </c>
    </row>
    <row r="353" spans="1:2" x14ac:dyDescent="0.25">
      <c r="A353" s="10" t="s">
        <v>438</v>
      </c>
      <c r="B353" s="15">
        <v>0</v>
      </c>
    </row>
    <row r="354" spans="1:2" x14ac:dyDescent="0.25">
      <c r="A354" s="10" t="s">
        <v>438</v>
      </c>
      <c r="B354" s="15">
        <v>0</v>
      </c>
    </row>
    <row r="355" spans="1:2" x14ac:dyDescent="0.25">
      <c r="A355" s="10" t="s">
        <v>440</v>
      </c>
      <c r="B355" s="15">
        <v>0</v>
      </c>
    </row>
    <row r="356" spans="1:2" x14ac:dyDescent="0.25">
      <c r="A356" s="10" t="s">
        <v>440</v>
      </c>
      <c r="B356" s="15">
        <v>0</v>
      </c>
    </row>
    <row r="357" spans="1:2" x14ac:dyDescent="0.25">
      <c r="A357" s="10" t="s">
        <v>442</v>
      </c>
      <c r="B357" s="15">
        <v>0</v>
      </c>
    </row>
    <row r="358" spans="1:2" x14ac:dyDescent="0.25">
      <c r="A358" s="10" t="s">
        <v>442</v>
      </c>
      <c r="B358" s="15">
        <v>0</v>
      </c>
    </row>
    <row r="359" spans="1:2" x14ac:dyDescent="0.25">
      <c r="A359" s="10" t="s">
        <v>444</v>
      </c>
      <c r="B359" s="15">
        <v>0</v>
      </c>
    </row>
    <row r="360" spans="1:2" x14ac:dyDescent="0.25">
      <c r="A360" s="10" t="s">
        <v>444</v>
      </c>
      <c r="B360" s="15">
        <v>0</v>
      </c>
    </row>
    <row r="361" spans="1:2" x14ac:dyDescent="0.25">
      <c r="A361" s="10" t="s">
        <v>446</v>
      </c>
      <c r="B361" s="15">
        <v>0</v>
      </c>
    </row>
    <row r="362" spans="1:2" x14ac:dyDescent="0.25">
      <c r="A362" s="10" t="s">
        <v>446</v>
      </c>
      <c r="B362" s="15">
        <v>0</v>
      </c>
    </row>
    <row r="363" spans="1:2" x14ac:dyDescent="0.25">
      <c r="A363" s="10" t="s">
        <v>448</v>
      </c>
      <c r="B363" s="15">
        <v>0</v>
      </c>
    </row>
    <row r="364" spans="1:2" x14ac:dyDescent="0.25">
      <c r="A364" s="10" t="s">
        <v>448</v>
      </c>
      <c r="B364" s="15">
        <v>0</v>
      </c>
    </row>
    <row r="365" spans="1:2" x14ac:dyDescent="0.25">
      <c r="A365" s="10" t="s">
        <v>450</v>
      </c>
      <c r="B365" s="15">
        <v>0</v>
      </c>
    </row>
    <row r="366" spans="1:2" x14ac:dyDescent="0.25">
      <c r="A366" s="10" t="s">
        <v>450</v>
      </c>
      <c r="B366" s="15">
        <v>0</v>
      </c>
    </row>
    <row r="367" spans="1:2" x14ac:dyDescent="0.25">
      <c r="A367" s="10" t="s">
        <v>452</v>
      </c>
      <c r="B367" s="15">
        <v>0</v>
      </c>
    </row>
    <row r="368" spans="1:2" x14ac:dyDescent="0.25">
      <c r="A368" s="10" t="s">
        <v>452</v>
      </c>
      <c r="B368" s="15">
        <v>0</v>
      </c>
    </row>
    <row r="369" spans="1:2" x14ac:dyDescent="0.25">
      <c r="A369" s="10" t="s">
        <v>454</v>
      </c>
      <c r="B369" s="15">
        <v>0</v>
      </c>
    </row>
    <row r="370" spans="1:2" x14ac:dyDescent="0.25">
      <c r="A370" s="10" t="s">
        <v>454</v>
      </c>
      <c r="B370" s="15">
        <v>0</v>
      </c>
    </row>
    <row r="371" spans="1:2" x14ac:dyDescent="0.25">
      <c r="A371" s="10" t="s">
        <v>456</v>
      </c>
      <c r="B371" s="15">
        <v>0</v>
      </c>
    </row>
    <row r="372" spans="1:2" x14ac:dyDescent="0.25">
      <c r="A372" s="10" t="s">
        <v>456</v>
      </c>
      <c r="B372" s="15">
        <v>0</v>
      </c>
    </row>
    <row r="373" spans="1:2" x14ac:dyDescent="0.25">
      <c r="A373" s="10" t="s">
        <v>458</v>
      </c>
      <c r="B373" s="15">
        <v>0</v>
      </c>
    </row>
    <row r="374" spans="1:2" x14ac:dyDescent="0.25">
      <c r="A374" s="10" t="s">
        <v>458</v>
      </c>
      <c r="B374" s="15">
        <v>0</v>
      </c>
    </row>
    <row r="375" spans="1:2" x14ac:dyDescent="0.25">
      <c r="A375" s="10" t="s">
        <v>460</v>
      </c>
      <c r="B375" s="15">
        <v>0</v>
      </c>
    </row>
    <row r="376" spans="1:2" x14ac:dyDescent="0.25">
      <c r="A376" s="10" t="s">
        <v>460</v>
      </c>
      <c r="B376" s="15">
        <v>0</v>
      </c>
    </row>
    <row r="377" spans="1:2" x14ac:dyDescent="0.25">
      <c r="A377" s="10" t="s">
        <v>462</v>
      </c>
      <c r="B377" s="15">
        <v>0</v>
      </c>
    </row>
    <row r="378" spans="1:2" x14ac:dyDescent="0.25">
      <c r="A378" s="10" t="s">
        <v>462</v>
      </c>
      <c r="B378" s="15">
        <v>0</v>
      </c>
    </row>
    <row r="379" spans="1:2" x14ac:dyDescent="0.25">
      <c r="A379" s="10" t="s">
        <v>464</v>
      </c>
      <c r="B379" s="15">
        <v>0</v>
      </c>
    </row>
    <row r="380" spans="1:2" x14ac:dyDescent="0.25">
      <c r="A380" s="10" t="s">
        <v>464</v>
      </c>
      <c r="B380" s="15">
        <v>0</v>
      </c>
    </row>
    <row r="381" spans="1:2" x14ac:dyDescent="0.25">
      <c r="A381" s="10" t="s">
        <v>466</v>
      </c>
      <c r="B381" s="15">
        <v>0</v>
      </c>
    </row>
    <row r="382" spans="1:2" x14ac:dyDescent="0.25">
      <c r="A382" s="10" t="s">
        <v>466</v>
      </c>
      <c r="B382" s="15">
        <v>0</v>
      </c>
    </row>
    <row r="383" spans="1:2" x14ac:dyDescent="0.25">
      <c r="A383" s="10" t="s">
        <v>468</v>
      </c>
      <c r="B383" s="15">
        <v>0</v>
      </c>
    </row>
    <row r="384" spans="1:2" x14ac:dyDescent="0.25">
      <c r="A384" s="10" t="s">
        <v>468</v>
      </c>
      <c r="B384" s="15">
        <v>0</v>
      </c>
    </row>
    <row r="385" spans="1:2" x14ac:dyDescent="0.25">
      <c r="A385" s="10" t="s">
        <v>470</v>
      </c>
      <c r="B385" s="15">
        <v>0</v>
      </c>
    </row>
    <row r="386" spans="1:2" x14ac:dyDescent="0.25">
      <c r="A386" s="10" t="s">
        <v>470</v>
      </c>
      <c r="B386" s="15">
        <v>0</v>
      </c>
    </row>
    <row r="387" spans="1:2" x14ac:dyDescent="0.25">
      <c r="A387" s="10" t="s">
        <v>472</v>
      </c>
      <c r="B387" s="15">
        <v>0</v>
      </c>
    </row>
    <row r="388" spans="1:2" x14ac:dyDescent="0.25">
      <c r="A388" s="10" t="s">
        <v>472</v>
      </c>
      <c r="B388" s="15">
        <v>0</v>
      </c>
    </row>
    <row r="389" spans="1:2" x14ac:dyDescent="0.25">
      <c r="A389" s="10" t="s">
        <v>474</v>
      </c>
      <c r="B389" s="15">
        <v>0</v>
      </c>
    </row>
    <row r="390" spans="1:2" x14ac:dyDescent="0.25">
      <c r="A390" s="10" t="s">
        <v>474</v>
      </c>
      <c r="B390" s="15">
        <v>0</v>
      </c>
    </row>
    <row r="391" spans="1:2" x14ac:dyDescent="0.25">
      <c r="A391" s="10" t="s">
        <v>476</v>
      </c>
      <c r="B391" s="15">
        <v>0</v>
      </c>
    </row>
    <row r="392" spans="1:2" x14ac:dyDescent="0.25">
      <c r="A392" s="10" t="s">
        <v>476</v>
      </c>
      <c r="B392" s="15">
        <v>0</v>
      </c>
    </row>
    <row r="393" spans="1:2" x14ac:dyDescent="0.25">
      <c r="A393" s="10" t="s">
        <v>478</v>
      </c>
      <c r="B393" s="15">
        <v>0</v>
      </c>
    </row>
    <row r="394" spans="1:2" x14ac:dyDescent="0.25">
      <c r="A394" s="10" t="s">
        <v>478</v>
      </c>
      <c r="B394" s="15">
        <v>0</v>
      </c>
    </row>
    <row r="395" spans="1:2" x14ac:dyDescent="0.25">
      <c r="A395" s="10" t="s">
        <v>480</v>
      </c>
      <c r="B395" s="15">
        <v>0</v>
      </c>
    </row>
    <row r="396" spans="1:2" x14ac:dyDescent="0.25">
      <c r="A396" s="10" t="s">
        <v>480</v>
      </c>
      <c r="B396" s="15">
        <v>0</v>
      </c>
    </row>
    <row r="397" spans="1:2" x14ac:dyDescent="0.25">
      <c r="A397" s="10" t="s">
        <v>482</v>
      </c>
      <c r="B397" s="15">
        <v>0</v>
      </c>
    </row>
    <row r="398" spans="1:2" x14ac:dyDescent="0.25">
      <c r="A398" s="10" t="s">
        <v>482</v>
      </c>
      <c r="B398" s="15">
        <v>0</v>
      </c>
    </row>
    <row r="399" spans="1:2" x14ac:dyDescent="0.25">
      <c r="A399" s="10" t="s">
        <v>484</v>
      </c>
      <c r="B399" s="15">
        <v>0</v>
      </c>
    </row>
    <row r="400" spans="1:2" x14ac:dyDescent="0.25">
      <c r="A400" s="10" t="s">
        <v>484</v>
      </c>
      <c r="B400" s="15">
        <v>0</v>
      </c>
    </row>
    <row r="401" spans="1:2" x14ac:dyDescent="0.25">
      <c r="A401" s="10" t="s">
        <v>486</v>
      </c>
      <c r="B401" s="15">
        <v>0</v>
      </c>
    </row>
    <row r="402" spans="1:2" x14ac:dyDescent="0.25">
      <c r="A402" s="10" t="s">
        <v>486</v>
      </c>
      <c r="B402" s="15">
        <v>0</v>
      </c>
    </row>
    <row r="403" spans="1:2" x14ac:dyDescent="0.25">
      <c r="A403" s="10" t="s">
        <v>488</v>
      </c>
      <c r="B403" s="15">
        <v>0</v>
      </c>
    </row>
    <row r="404" spans="1:2" x14ac:dyDescent="0.25">
      <c r="A404" s="10" t="s">
        <v>488</v>
      </c>
      <c r="B404" s="15">
        <v>0</v>
      </c>
    </row>
    <row r="405" spans="1:2" x14ac:dyDescent="0.25">
      <c r="A405" s="10" t="s">
        <v>490</v>
      </c>
      <c r="B405" s="15">
        <v>0</v>
      </c>
    </row>
    <row r="406" spans="1:2" x14ac:dyDescent="0.25">
      <c r="A406" s="10" t="s">
        <v>490</v>
      </c>
      <c r="B406" s="15">
        <v>0</v>
      </c>
    </row>
    <row r="407" spans="1:2" x14ac:dyDescent="0.25">
      <c r="A407" s="10" t="s">
        <v>492</v>
      </c>
      <c r="B407" s="15">
        <v>0</v>
      </c>
    </row>
    <row r="408" spans="1:2" x14ac:dyDescent="0.25">
      <c r="A408" s="10" t="s">
        <v>492</v>
      </c>
      <c r="B408" s="15">
        <v>0</v>
      </c>
    </row>
    <row r="409" spans="1:2" x14ac:dyDescent="0.25">
      <c r="A409" s="10" t="s">
        <v>494</v>
      </c>
      <c r="B409" s="15">
        <v>0</v>
      </c>
    </row>
    <row r="410" spans="1:2" x14ac:dyDescent="0.25">
      <c r="A410" s="10" t="s">
        <v>494</v>
      </c>
      <c r="B410" s="15">
        <v>0</v>
      </c>
    </row>
    <row r="411" spans="1:2" x14ac:dyDescent="0.25">
      <c r="A411" s="10" t="s">
        <v>496</v>
      </c>
      <c r="B411" s="15">
        <v>0</v>
      </c>
    </row>
    <row r="412" spans="1:2" x14ac:dyDescent="0.25">
      <c r="A412" s="10" t="s">
        <v>496</v>
      </c>
      <c r="B412" s="15">
        <v>0</v>
      </c>
    </row>
    <row r="413" spans="1:2" x14ac:dyDescent="0.25">
      <c r="A413" s="10" t="s">
        <v>498</v>
      </c>
      <c r="B413" s="15">
        <v>0</v>
      </c>
    </row>
    <row r="414" spans="1:2" x14ac:dyDescent="0.25">
      <c r="A414" s="10" t="s">
        <v>498</v>
      </c>
      <c r="B414" s="15">
        <v>0</v>
      </c>
    </row>
    <row r="415" spans="1:2" x14ac:dyDescent="0.25">
      <c r="A415" s="10" t="s">
        <v>500</v>
      </c>
      <c r="B415" s="15">
        <v>0</v>
      </c>
    </row>
    <row r="416" spans="1:2" x14ac:dyDescent="0.25">
      <c r="A416" s="10" t="s">
        <v>500</v>
      </c>
      <c r="B416" s="15">
        <v>0</v>
      </c>
    </row>
    <row r="417" spans="1:2" x14ac:dyDescent="0.25">
      <c r="A417" s="10" t="s">
        <v>502</v>
      </c>
      <c r="B417" s="15">
        <v>0</v>
      </c>
    </row>
    <row r="418" spans="1:2" x14ac:dyDescent="0.25">
      <c r="A418" s="10" t="s">
        <v>502</v>
      </c>
      <c r="B418" s="15">
        <v>0</v>
      </c>
    </row>
    <row r="419" spans="1:2" x14ac:dyDescent="0.25">
      <c r="A419" s="10" t="s">
        <v>504</v>
      </c>
      <c r="B419" s="15">
        <v>0</v>
      </c>
    </row>
    <row r="420" spans="1:2" x14ac:dyDescent="0.25">
      <c r="A420" s="10" t="s">
        <v>504</v>
      </c>
      <c r="B420" s="15">
        <v>0</v>
      </c>
    </row>
    <row r="421" spans="1:2" x14ac:dyDescent="0.25">
      <c r="A421" s="10" t="s">
        <v>506</v>
      </c>
      <c r="B421" s="15">
        <v>0</v>
      </c>
    </row>
    <row r="422" spans="1:2" x14ac:dyDescent="0.25">
      <c r="A422" s="10" t="s">
        <v>506</v>
      </c>
      <c r="B422" s="15">
        <v>0</v>
      </c>
    </row>
    <row r="423" spans="1:2" x14ac:dyDescent="0.25">
      <c r="A423" s="10" t="s">
        <v>508</v>
      </c>
      <c r="B423" s="15">
        <v>0</v>
      </c>
    </row>
    <row r="424" spans="1:2" x14ac:dyDescent="0.25">
      <c r="A424" s="10" t="s">
        <v>508</v>
      </c>
      <c r="B424" s="15">
        <v>0</v>
      </c>
    </row>
    <row r="425" spans="1:2" x14ac:dyDescent="0.25">
      <c r="A425" s="10" t="s">
        <v>510</v>
      </c>
      <c r="B425" s="15">
        <v>0</v>
      </c>
    </row>
    <row r="426" spans="1:2" x14ac:dyDescent="0.25">
      <c r="A426" s="10" t="s">
        <v>510</v>
      </c>
      <c r="B426" s="15">
        <v>0</v>
      </c>
    </row>
    <row r="427" spans="1:2" x14ac:dyDescent="0.25">
      <c r="A427" s="10" t="s">
        <v>512</v>
      </c>
      <c r="B427" s="15">
        <v>0</v>
      </c>
    </row>
    <row r="428" spans="1:2" x14ac:dyDescent="0.25">
      <c r="A428" s="10" t="s">
        <v>512</v>
      </c>
      <c r="B428" s="15">
        <v>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0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9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7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6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5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4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0"/>
  <dimension ref="A1:N157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5750,25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</row>
    <row r="5" spans="1:14" x14ac:dyDescent="0.25">
      <c r="A5" s="10" t="s">
        <v>94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</row>
    <row r="6" spans="1:14" x14ac:dyDescent="0.25">
      <c r="A6" s="10" t="s">
        <v>96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</row>
    <row r="7" spans="1:14" x14ac:dyDescent="0.25">
      <c r="A7" s="10" t="s">
        <v>98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</row>
    <row r="8" spans="1:14" x14ac:dyDescent="0.25">
      <c r="A8" s="10" t="s">
        <v>100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</row>
    <row r="9" spans="1:14" x14ac:dyDescent="0.25">
      <c r="A9" s="10" t="s">
        <v>515</v>
      </c>
      <c r="B9" s="15">
        <v>0</v>
      </c>
      <c r="C9" s="15">
        <v>3428.02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</row>
    <row r="10" spans="1:14" x14ac:dyDescent="0.25">
      <c r="A10" s="10" t="s">
        <v>517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4" x14ac:dyDescent="0.25">
      <c r="A13" s="10" t="s">
        <v>110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</row>
    <row r="14" spans="1:14" x14ac:dyDescent="0.25">
      <c r="A14" s="10" t="s">
        <v>112</v>
      </c>
      <c r="B14" s="15">
        <v>0</v>
      </c>
      <c r="C14" s="15">
        <v>144.24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</row>
    <row r="15" spans="1:14" x14ac:dyDescent="0.25">
      <c r="A15" s="10" t="s">
        <v>114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</row>
    <row r="16" spans="1:14" x14ac:dyDescent="0.25">
      <c r="A16" s="10" t="s">
        <v>118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25">
      <c r="A17" s="10" t="s">
        <v>122</v>
      </c>
      <c r="B17" s="15">
        <v>0</v>
      </c>
      <c r="C17" s="15">
        <v>174.18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</row>
    <row r="18" spans="1:13" x14ac:dyDescent="0.25">
      <c r="A18" s="10" t="s">
        <v>126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</row>
    <row r="19" spans="1:13" x14ac:dyDescent="0.25">
      <c r="A19" s="10" t="s">
        <v>128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</row>
    <row r="20" spans="1:13" x14ac:dyDescent="0.25">
      <c r="A20" s="10" t="s">
        <v>130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</row>
    <row r="21" spans="1:13" x14ac:dyDescent="0.25">
      <c r="A21" s="10" t="s">
        <v>132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</row>
    <row r="22" spans="1:13" x14ac:dyDescent="0.25">
      <c r="A22" s="10" t="s">
        <v>134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</row>
    <row r="23" spans="1:13" x14ac:dyDescent="0.25">
      <c r="A23" s="10" t="s">
        <v>142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</row>
    <row r="24" spans="1:13" x14ac:dyDescent="0.25">
      <c r="A24" s="10" t="s">
        <v>519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</row>
    <row r="25" spans="1:13" x14ac:dyDescent="0.25">
      <c r="A25" s="10" t="s">
        <v>144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</row>
    <row r="26" spans="1:13" x14ac:dyDescent="0.25">
      <c r="A26" s="10" t="s">
        <v>146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</row>
    <row r="27" spans="1:13" x14ac:dyDescent="0.25">
      <c r="A27" s="10" t="s">
        <v>148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</row>
    <row r="28" spans="1:13" x14ac:dyDescent="0.25">
      <c r="A28" s="10" t="s">
        <v>150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</row>
    <row r="29" spans="1:13" x14ac:dyDescent="0.25">
      <c r="A29" s="10" t="s">
        <v>152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</row>
    <row r="30" spans="1:13" x14ac:dyDescent="0.25">
      <c r="A30" s="10" t="s">
        <v>154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</row>
    <row r="31" spans="1:13" x14ac:dyDescent="0.25">
      <c r="A31" s="10" t="s">
        <v>158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</row>
    <row r="32" spans="1:13" x14ac:dyDescent="0.25">
      <c r="A32" s="10" t="s">
        <v>160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</row>
    <row r="33" spans="1:13" x14ac:dyDescent="0.25">
      <c r="A33" s="10" t="s">
        <v>162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</row>
    <row r="34" spans="1:13" x14ac:dyDescent="0.25">
      <c r="A34" s="10" t="s">
        <v>521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</row>
    <row r="35" spans="1:13" x14ac:dyDescent="0.25">
      <c r="A35" s="10" t="s">
        <v>166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</row>
    <row r="36" spans="1:13" x14ac:dyDescent="0.25">
      <c r="A36" s="10" t="s">
        <v>168</v>
      </c>
      <c r="B36" s="15">
        <v>0</v>
      </c>
      <c r="C36" s="15">
        <v>441.44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</row>
    <row r="37" spans="1:13" x14ac:dyDescent="0.25">
      <c r="A37" s="10" t="s">
        <v>170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</row>
    <row r="38" spans="1:13" x14ac:dyDescent="0.25">
      <c r="A38" s="10" t="s">
        <v>172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</row>
    <row r="39" spans="1:13" x14ac:dyDescent="0.25">
      <c r="A39" s="10" t="s">
        <v>176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</row>
    <row r="40" spans="1:13" x14ac:dyDescent="0.25">
      <c r="A40" s="10" t="s">
        <v>180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</row>
    <row r="41" spans="1:13" x14ac:dyDescent="0.25">
      <c r="A41" s="10" t="s">
        <v>182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</row>
    <row r="42" spans="1:13" x14ac:dyDescent="0.25">
      <c r="A42" s="10" t="s">
        <v>186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</row>
    <row r="43" spans="1:13" x14ac:dyDescent="0.25">
      <c r="A43" s="10" t="s">
        <v>188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</row>
    <row r="44" spans="1:13" x14ac:dyDescent="0.25">
      <c r="A44" s="10" t="s">
        <v>192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</row>
    <row r="45" spans="1:13" x14ac:dyDescent="0.25">
      <c r="A45" s="10" t="s">
        <v>523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</row>
    <row r="46" spans="1:13" x14ac:dyDescent="0.25">
      <c r="A46" s="10" t="s">
        <v>194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</row>
    <row r="47" spans="1:13" x14ac:dyDescent="0.25">
      <c r="A47" s="10" t="s">
        <v>525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</row>
    <row r="48" spans="1:13" x14ac:dyDescent="0.25">
      <c r="A48" s="10" t="s">
        <v>196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</row>
    <row r="49" spans="1:13" x14ac:dyDescent="0.25">
      <c r="A49" s="10" t="s">
        <v>200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</row>
    <row r="50" spans="1:13" x14ac:dyDescent="0.25">
      <c r="A50" s="10" t="s">
        <v>527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</row>
    <row r="51" spans="1:13" x14ac:dyDescent="0.25">
      <c r="A51" s="10" t="s">
        <v>204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</row>
    <row r="52" spans="1:13" x14ac:dyDescent="0.25">
      <c r="A52" s="10" t="s">
        <v>529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</row>
    <row r="53" spans="1:13" x14ac:dyDescent="0.25">
      <c r="A53" s="10" t="s">
        <v>206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</row>
    <row r="54" spans="1:13" x14ac:dyDescent="0.25">
      <c r="A54" s="10" t="s">
        <v>214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</row>
    <row r="55" spans="1:13" x14ac:dyDescent="0.25">
      <c r="A55" s="10" t="s">
        <v>216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</row>
    <row r="56" spans="1:13" x14ac:dyDescent="0.25">
      <c r="A56" s="10" t="s">
        <v>222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</row>
    <row r="57" spans="1:13" x14ac:dyDescent="0.25">
      <c r="A57" s="10" t="s">
        <v>224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</row>
    <row r="58" spans="1:13" x14ac:dyDescent="0.25">
      <c r="A58" s="10" t="s">
        <v>226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</row>
    <row r="59" spans="1:13" x14ac:dyDescent="0.25">
      <c r="A59" s="10" t="s">
        <v>531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</row>
    <row r="60" spans="1:13" x14ac:dyDescent="0.25">
      <c r="A60" s="10" t="s">
        <v>232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</row>
    <row r="61" spans="1:13" x14ac:dyDescent="0.25">
      <c r="A61" s="10" t="s">
        <v>236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</row>
    <row r="62" spans="1:13" x14ac:dyDescent="0.25">
      <c r="A62" s="10" t="s">
        <v>533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</row>
    <row r="63" spans="1:13" x14ac:dyDescent="0.25">
      <c r="A63" s="10" t="s">
        <v>238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</row>
    <row r="64" spans="1:13" x14ac:dyDescent="0.25">
      <c r="A64" s="10" t="s">
        <v>242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</row>
    <row r="65" spans="1:13" x14ac:dyDescent="0.25">
      <c r="A65" s="10" t="s">
        <v>244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</row>
    <row r="66" spans="1:13" x14ac:dyDescent="0.25">
      <c r="A66" s="10" t="s">
        <v>535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</row>
    <row r="67" spans="1:13" x14ac:dyDescent="0.25">
      <c r="A67" s="10" t="s">
        <v>246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</row>
    <row r="68" spans="1:13" x14ac:dyDescent="0.25">
      <c r="A68" s="10" t="s">
        <v>250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</row>
    <row r="69" spans="1:13" x14ac:dyDescent="0.25">
      <c r="A69" s="10" t="s">
        <v>252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</row>
    <row r="70" spans="1:13" x14ac:dyDescent="0.25">
      <c r="A70" s="10" t="s">
        <v>256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</row>
    <row r="71" spans="1:13" x14ac:dyDescent="0.25">
      <c r="A71" s="10" t="s">
        <v>262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</row>
    <row r="72" spans="1:13" x14ac:dyDescent="0.25">
      <c r="A72" s="10" t="s">
        <v>264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</row>
    <row r="73" spans="1:13" x14ac:dyDescent="0.25">
      <c r="A73" s="10" t="s">
        <v>266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</row>
    <row r="74" spans="1:13" x14ac:dyDescent="0.25">
      <c r="A74" s="10" t="s">
        <v>268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</row>
    <row r="75" spans="1:13" x14ac:dyDescent="0.25">
      <c r="A75" s="10" t="s">
        <v>270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</row>
    <row r="76" spans="1:13" x14ac:dyDescent="0.25">
      <c r="A76" s="10" t="s">
        <v>272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</row>
    <row r="77" spans="1:13" x14ac:dyDescent="0.25">
      <c r="A77" s="10" t="s">
        <v>274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</row>
    <row r="78" spans="1:13" x14ac:dyDescent="0.25">
      <c r="A78" s="10" t="s">
        <v>278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</row>
    <row r="79" spans="1:13" x14ac:dyDescent="0.25">
      <c r="A79" s="10" t="s">
        <v>280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</row>
    <row r="80" spans="1:13" x14ac:dyDescent="0.25">
      <c r="A80" s="10" t="s">
        <v>282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</row>
    <row r="81" spans="1:13" x14ac:dyDescent="0.25">
      <c r="A81" s="10" t="s">
        <v>286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</row>
    <row r="82" spans="1:13" x14ac:dyDescent="0.25">
      <c r="A82" s="10" t="s">
        <v>537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</row>
    <row r="83" spans="1:13" x14ac:dyDescent="0.25">
      <c r="A83" s="10" t="s">
        <v>290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</row>
    <row r="84" spans="1:13" x14ac:dyDescent="0.25">
      <c r="A84" s="10" t="s">
        <v>294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</row>
    <row r="85" spans="1:13" x14ac:dyDescent="0.25">
      <c r="A85" s="10" t="s">
        <v>296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</row>
    <row r="86" spans="1:13" x14ac:dyDescent="0.25">
      <c r="A86" s="10" t="s">
        <v>298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</row>
    <row r="87" spans="1:13" x14ac:dyDescent="0.25">
      <c r="A87" s="10" t="s">
        <v>300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</row>
    <row r="88" spans="1:13" x14ac:dyDescent="0.25">
      <c r="A88" s="10" t="s">
        <v>302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</row>
    <row r="89" spans="1:13" x14ac:dyDescent="0.25">
      <c r="A89" s="10" t="s">
        <v>306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</row>
    <row r="90" spans="1:13" x14ac:dyDescent="0.25">
      <c r="A90" s="10" t="s">
        <v>312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</row>
    <row r="91" spans="1:13" x14ac:dyDescent="0.25">
      <c r="A91" s="10" t="s">
        <v>314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</row>
    <row r="92" spans="1:13" x14ac:dyDescent="0.25">
      <c r="A92" s="10" t="s">
        <v>316</v>
      </c>
      <c r="B92" s="15">
        <v>0</v>
      </c>
      <c r="C92" s="15">
        <v>54.89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</row>
    <row r="93" spans="1:13" x14ac:dyDescent="0.25">
      <c r="A93" s="10" t="s">
        <v>318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</row>
    <row r="94" spans="1:13" x14ac:dyDescent="0.25">
      <c r="A94" s="10" t="s">
        <v>320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</row>
    <row r="95" spans="1:13" x14ac:dyDescent="0.25">
      <c r="A95" s="10" t="s">
        <v>322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</row>
    <row r="96" spans="1:13" x14ac:dyDescent="0.25">
      <c r="A96" s="10" t="s">
        <v>326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</row>
    <row r="97" spans="1:13" x14ac:dyDescent="0.25">
      <c r="A97" s="10" t="s">
        <v>328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</row>
    <row r="98" spans="1:13" x14ac:dyDescent="0.25">
      <c r="A98" s="10" t="s">
        <v>332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</row>
    <row r="99" spans="1:13" x14ac:dyDescent="0.25">
      <c r="A99" s="10" t="s">
        <v>334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</row>
    <row r="100" spans="1:13" x14ac:dyDescent="0.25">
      <c r="A100" s="10" t="s">
        <v>340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</row>
    <row r="101" spans="1:13" x14ac:dyDescent="0.25">
      <c r="A101" s="10" t="s">
        <v>344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</row>
    <row r="102" spans="1:13" x14ac:dyDescent="0.25">
      <c r="A102" s="10" t="s">
        <v>346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</row>
    <row r="103" spans="1:13" x14ac:dyDescent="0.25">
      <c r="A103" s="10" t="s">
        <v>348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</row>
    <row r="104" spans="1:13" x14ac:dyDescent="0.25">
      <c r="A104" s="10" t="s">
        <v>350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</row>
    <row r="105" spans="1:13" x14ac:dyDescent="0.25">
      <c r="A105" s="10" t="s">
        <v>352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</row>
    <row r="106" spans="1:13" x14ac:dyDescent="0.25">
      <c r="A106" s="10" t="s">
        <v>354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</row>
    <row r="107" spans="1:13" x14ac:dyDescent="0.25">
      <c r="A107" s="10" t="s">
        <v>356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</row>
    <row r="108" spans="1:13" x14ac:dyDescent="0.25">
      <c r="A108" s="10" t="s">
        <v>358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</row>
    <row r="109" spans="1:13" x14ac:dyDescent="0.25">
      <c r="A109" s="10" t="s">
        <v>362</v>
      </c>
      <c r="B109" s="15">
        <v>0</v>
      </c>
      <c r="C109" s="15">
        <v>61.68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</row>
    <row r="110" spans="1:13" x14ac:dyDescent="0.25">
      <c r="A110" s="10" t="s">
        <v>364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</row>
    <row r="111" spans="1:13" x14ac:dyDescent="0.25">
      <c r="A111" s="10" t="s">
        <v>366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</row>
    <row r="112" spans="1:13" x14ac:dyDescent="0.25">
      <c r="A112" s="10" t="s">
        <v>368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</row>
    <row r="113" spans="1:13" x14ac:dyDescent="0.25">
      <c r="A113" s="10" t="s">
        <v>539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</row>
    <row r="114" spans="1:13" x14ac:dyDescent="0.25">
      <c r="A114" s="10" t="s">
        <v>370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</row>
    <row r="115" spans="1:13" x14ac:dyDescent="0.25">
      <c r="A115" s="10" t="s">
        <v>372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</row>
    <row r="116" spans="1:13" x14ac:dyDescent="0.25">
      <c r="A116" s="10" t="s">
        <v>541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</row>
    <row r="117" spans="1:13" x14ac:dyDescent="0.25">
      <c r="A117" s="10" t="s">
        <v>382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</row>
    <row r="118" spans="1:13" x14ac:dyDescent="0.25">
      <c r="A118" s="10" t="s">
        <v>384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</row>
    <row r="119" spans="1:13" x14ac:dyDescent="0.25">
      <c r="A119" s="10" t="s">
        <v>386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</row>
    <row r="120" spans="1:13" x14ac:dyDescent="0.25">
      <c r="A120" s="10" t="s">
        <v>543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</row>
    <row r="121" spans="1:13" x14ac:dyDescent="0.25">
      <c r="A121" s="10" t="s">
        <v>394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</row>
    <row r="122" spans="1:13" x14ac:dyDescent="0.25">
      <c r="A122" s="10" t="s">
        <v>396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</row>
    <row r="123" spans="1:13" x14ac:dyDescent="0.25">
      <c r="A123" s="10" t="s">
        <v>545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</row>
    <row r="124" spans="1:13" x14ac:dyDescent="0.25">
      <c r="A124" s="10" t="s">
        <v>406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</row>
    <row r="125" spans="1:13" x14ac:dyDescent="0.25">
      <c r="A125" s="10" t="s">
        <v>547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</row>
    <row r="126" spans="1:13" x14ac:dyDescent="0.25">
      <c r="A126" s="10" t="s">
        <v>408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</row>
    <row r="127" spans="1:13" x14ac:dyDescent="0.25">
      <c r="A127" s="10" t="s">
        <v>549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</row>
    <row r="128" spans="1:13" x14ac:dyDescent="0.25">
      <c r="A128" s="10" t="s">
        <v>420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</row>
    <row r="129" spans="1:13" x14ac:dyDescent="0.25">
      <c r="A129" s="10" t="s">
        <v>424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</row>
    <row r="130" spans="1:13" x14ac:dyDescent="0.25">
      <c r="A130" s="10" t="s">
        <v>426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</row>
    <row r="131" spans="1:13" x14ac:dyDescent="0.25">
      <c r="A131" s="10" t="s">
        <v>551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</row>
    <row r="132" spans="1:13" x14ac:dyDescent="0.25">
      <c r="A132" s="10" t="s">
        <v>553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</row>
    <row r="133" spans="1:13" x14ac:dyDescent="0.25">
      <c r="A133" s="10" t="s">
        <v>434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</row>
    <row r="134" spans="1:13" x14ac:dyDescent="0.25">
      <c r="A134" s="10" t="s">
        <v>436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</row>
    <row r="135" spans="1:13" x14ac:dyDescent="0.25">
      <c r="A135" s="10" t="s">
        <v>438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</row>
    <row r="136" spans="1:13" x14ac:dyDescent="0.25">
      <c r="A136" s="10" t="s">
        <v>555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</row>
    <row r="137" spans="1:13" x14ac:dyDescent="0.25">
      <c r="A137" s="10" t="s">
        <v>440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</row>
    <row r="138" spans="1:13" x14ac:dyDescent="0.25">
      <c r="A138" s="10" t="s">
        <v>446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</row>
    <row r="139" spans="1:13" x14ac:dyDescent="0.25">
      <c r="A139" s="10" t="s">
        <v>450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</row>
    <row r="140" spans="1:13" x14ac:dyDescent="0.25">
      <c r="A140" s="10" t="s">
        <v>454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</row>
    <row r="141" spans="1:13" x14ac:dyDescent="0.25">
      <c r="A141" s="10" t="s">
        <v>460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</row>
    <row r="142" spans="1:13" x14ac:dyDescent="0.25">
      <c r="A142" s="10" t="s">
        <v>462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</row>
    <row r="143" spans="1:13" x14ac:dyDescent="0.25">
      <c r="A143" s="10" t="s">
        <v>466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</row>
    <row r="144" spans="1:13" x14ac:dyDescent="0.25">
      <c r="A144" s="10" t="s">
        <v>474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</row>
    <row r="145" spans="1:13" x14ac:dyDescent="0.25">
      <c r="A145" s="10" t="s">
        <v>482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</row>
    <row r="146" spans="1:13" x14ac:dyDescent="0.25">
      <c r="A146" s="10" t="s">
        <v>484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</row>
    <row r="147" spans="1:13" x14ac:dyDescent="0.25">
      <c r="A147" s="10" t="s">
        <v>486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</row>
    <row r="148" spans="1:13" x14ac:dyDescent="0.25">
      <c r="A148" s="10" t="s">
        <v>488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</row>
    <row r="149" spans="1:13" x14ac:dyDescent="0.25">
      <c r="A149" s="10" t="s">
        <v>490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</row>
    <row r="150" spans="1:13" x14ac:dyDescent="0.25">
      <c r="A150" s="10" t="s">
        <v>494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</row>
    <row r="151" spans="1:13" x14ac:dyDescent="0.25">
      <c r="A151" s="10" t="s">
        <v>500</v>
      </c>
      <c r="B151" s="15">
        <v>0</v>
      </c>
      <c r="C151" s="15">
        <v>78.31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</row>
    <row r="152" spans="1:13" x14ac:dyDescent="0.25">
      <c r="A152" s="10" t="s">
        <v>502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</row>
    <row r="153" spans="1:13" x14ac:dyDescent="0.25">
      <c r="A153" s="10" t="s">
        <v>557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</row>
    <row r="154" spans="1:13" x14ac:dyDescent="0.25">
      <c r="A154" s="10" t="s">
        <v>506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</row>
    <row r="155" spans="1:13" x14ac:dyDescent="0.25">
      <c r="A155" s="10" t="s">
        <v>559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</row>
    <row r="156" spans="1:13" x14ac:dyDescent="0.25">
      <c r="A156" s="10" t="s">
        <v>510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</row>
    <row r="157" spans="1:13" x14ac:dyDescent="0.25">
      <c r="A157" s="10" t="s">
        <v>512</v>
      </c>
      <c r="B157" s="15">
        <v>0</v>
      </c>
      <c r="C157" s="15">
        <v>1367.49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9"/>
  <dimension ref="A1:N157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</row>
    <row r="5" spans="1:14" x14ac:dyDescent="0.25">
      <c r="A5" s="10" t="s">
        <v>94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</row>
    <row r="6" spans="1:14" x14ac:dyDescent="0.25">
      <c r="A6" s="10" t="s">
        <v>96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</row>
    <row r="7" spans="1:14" x14ac:dyDescent="0.25">
      <c r="A7" s="10" t="s">
        <v>98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</row>
    <row r="8" spans="1:14" x14ac:dyDescent="0.25">
      <c r="A8" s="10" t="s">
        <v>100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</row>
    <row r="9" spans="1:14" x14ac:dyDescent="0.25">
      <c r="A9" s="10" t="s">
        <v>515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</row>
    <row r="10" spans="1:14" x14ac:dyDescent="0.25">
      <c r="A10" s="10" t="s">
        <v>517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4" x14ac:dyDescent="0.25">
      <c r="A13" s="10" t="s">
        <v>110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</row>
    <row r="14" spans="1:14" x14ac:dyDescent="0.25">
      <c r="A14" s="10" t="s">
        <v>112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</row>
    <row r="15" spans="1:14" x14ac:dyDescent="0.25">
      <c r="A15" s="10" t="s">
        <v>114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</row>
    <row r="16" spans="1:14" x14ac:dyDescent="0.25">
      <c r="A16" s="10" t="s">
        <v>118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25">
      <c r="A17" s="10" t="s">
        <v>122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</row>
    <row r="18" spans="1:13" x14ac:dyDescent="0.25">
      <c r="A18" s="10" t="s">
        <v>126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</row>
    <row r="19" spans="1:13" x14ac:dyDescent="0.25">
      <c r="A19" s="10" t="s">
        <v>128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</row>
    <row r="20" spans="1:13" x14ac:dyDescent="0.25">
      <c r="A20" s="10" t="s">
        <v>130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</row>
    <row r="21" spans="1:13" x14ac:dyDescent="0.25">
      <c r="A21" s="10" t="s">
        <v>132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</row>
    <row r="22" spans="1:13" x14ac:dyDescent="0.25">
      <c r="A22" s="10" t="s">
        <v>134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</row>
    <row r="23" spans="1:13" x14ac:dyDescent="0.25">
      <c r="A23" s="10" t="s">
        <v>142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</row>
    <row r="24" spans="1:13" x14ac:dyDescent="0.25">
      <c r="A24" s="10" t="s">
        <v>519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</row>
    <row r="25" spans="1:13" x14ac:dyDescent="0.25">
      <c r="A25" s="10" t="s">
        <v>144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</row>
    <row r="26" spans="1:13" x14ac:dyDescent="0.25">
      <c r="A26" s="10" t="s">
        <v>146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</row>
    <row r="27" spans="1:13" x14ac:dyDescent="0.25">
      <c r="A27" s="10" t="s">
        <v>148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</row>
    <row r="28" spans="1:13" x14ac:dyDescent="0.25">
      <c r="A28" s="10" t="s">
        <v>150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</row>
    <row r="29" spans="1:13" x14ac:dyDescent="0.25">
      <c r="A29" s="10" t="s">
        <v>152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</row>
    <row r="30" spans="1:13" x14ac:dyDescent="0.25">
      <c r="A30" s="10" t="s">
        <v>154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</row>
    <row r="31" spans="1:13" x14ac:dyDescent="0.25">
      <c r="A31" s="10" t="s">
        <v>158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</row>
    <row r="32" spans="1:13" x14ac:dyDescent="0.25">
      <c r="A32" s="10" t="s">
        <v>160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</row>
    <row r="33" spans="1:13" x14ac:dyDescent="0.25">
      <c r="A33" s="10" t="s">
        <v>162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</row>
    <row r="34" spans="1:13" x14ac:dyDescent="0.25">
      <c r="A34" s="10" t="s">
        <v>521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</row>
    <row r="35" spans="1:13" x14ac:dyDescent="0.25">
      <c r="A35" s="10" t="s">
        <v>166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</row>
    <row r="36" spans="1:13" x14ac:dyDescent="0.25">
      <c r="A36" s="10" t="s">
        <v>168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</row>
    <row r="37" spans="1:13" x14ac:dyDescent="0.25">
      <c r="A37" s="10" t="s">
        <v>170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</row>
    <row r="38" spans="1:13" x14ac:dyDescent="0.25">
      <c r="A38" s="10" t="s">
        <v>172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</row>
    <row r="39" spans="1:13" x14ac:dyDescent="0.25">
      <c r="A39" s="10" t="s">
        <v>176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</row>
    <row r="40" spans="1:13" x14ac:dyDescent="0.25">
      <c r="A40" s="10" t="s">
        <v>180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</row>
    <row r="41" spans="1:13" x14ac:dyDescent="0.25">
      <c r="A41" s="10" t="s">
        <v>182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</row>
    <row r="42" spans="1:13" x14ac:dyDescent="0.25">
      <c r="A42" s="10" t="s">
        <v>186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</row>
    <row r="43" spans="1:13" x14ac:dyDescent="0.25">
      <c r="A43" s="10" t="s">
        <v>188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</row>
    <row r="44" spans="1:13" x14ac:dyDescent="0.25">
      <c r="A44" s="10" t="s">
        <v>192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</row>
    <row r="45" spans="1:13" x14ac:dyDescent="0.25">
      <c r="A45" s="10" t="s">
        <v>523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</row>
    <row r="46" spans="1:13" x14ac:dyDescent="0.25">
      <c r="A46" s="10" t="s">
        <v>194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</row>
    <row r="47" spans="1:13" x14ac:dyDescent="0.25">
      <c r="A47" s="10" t="s">
        <v>525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</row>
    <row r="48" spans="1:13" x14ac:dyDescent="0.25">
      <c r="A48" s="10" t="s">
        <v>196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</row>
    <row r="49" spans="1:13" x14ac:dyDescent="0.25">
      <c r="A49" s="10" t="s">
        <v>200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</row>
    <row r="50" spans="1:13" x14ac:dyDescent="0.25">
      <c r="A50" s="10" t="s">
        <v>527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</row>
    <row r="51" spans="1:13" x14ac:dyDescent="0.25">
      <c r="A51" s="10" t="s">
        <v>204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</row>
    <row r="52" spans="1:13" x14ac:dyDescent="0.25">
      <c r="A52" s="10" t="s">
        <v>529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</row>
    <row r="53" spans="1:13" x14ac:dyDescent="0.25">
      <c r="A53" s="10" t="s">
        <v>206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</row>
    <row r="54" spans="1:13" x14ac:dyDescent="0.25">
      <c r="A54" s="10" t="s">
        <v>214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</row>
    <row r="55" spans="1:13" x14ac:dyDescent="0.25">
      <c r="A55" s="10" t="s">
        <v>216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</row>
    <row r="56" spans="1:13" x14ac:dyDescent="0.25">
      <c r="A56" s="10" t="s">
        <v>222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</row>
    <row r="57" spans="1:13" x14ac:dyDescent="0.25">
      <c r="A57" s="10" t="s">
        <v>224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</row>
    <row r="58" spans="1:13" x14ac:dyDescent="0.25">
      <c r="A58" s="10" t="s">
        <v>226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</row>
    <row r="59" spans="1:13" x14ac:dyDescent="0.25">
      <c r="A59" s="10" t="s">
        <v>531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</row>
    <row r="60" spans="1:13" x14ac:dyDescent="0.25">
      <c r="A60" s="10" t="s">
        <v>232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</row>
    <row r="61" spans="1:13" x14ac:dyDescent="0.25">
      <c r="A61" s="10" t="s">
        <v>236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</row>
    <row r="62" spans="1:13" x14ac:dyDescent="0.25">
      <c r="A62" s="10" t="s">
        <v>533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</row>
    <row r="63" spans="1:13" x14ac:dyDescent="0.25">
      <c r="A63" s="10" t="s">
        <v>238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</row>
    <row r="64" spans="1:13" x14ac:dyDescent="0.25">
      <c r="A64" s="10" t="s">
        <v>242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</row>
    <row r="65" spans="1:13" x14ac:dyDescent="0.25">
      <c r="A65" s="10" t="s">
        <v>244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</row>
    <row r="66" spans="1:13" x14ac:dyDescent="0.25">
      <c r="A66" s="10" t="s">
        <v>535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</row>
    <row r="67" spans="1:13" x14ac:dyDescent="0.25">
      <c r="A67" s="10" t="s">
        <v>246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</row>
    <row r="68" spans="1:13" x14ac:dyDescent="0.25">
      <c r="A68" s="10" t="s">
        <v>250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</row>
    <row r="69" spans="1:13" x14ac:dyDescent="0.25">
      <c r="A69" s="10" t="s">
        <v>252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</row>
    <row r="70" spans="1:13" x14ac:dyDescent="0.25">
      <c r="A70" s="10" t="s">
        <v>256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</row>
    <row r="71" spans="1:13" x14ac:dyDescent="0.25">
      <c r="A71" s="10" t="s">
        <v>262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</row>
    <row r="72" spans="1:13" x14ac:dyDescent="0.25">
      <c r="A72" s="10" t="s">
        <v>264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</row>
    <row r="73" spans="1:13" x14ac:dyDescent="0.25">
      <c r="A73" s="10" t="s">
        <v>266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</row>
    <row r="74" spans="1:13" x14ac:dyDescent="0.25">
      <c r="A74" s="10" t="s">
        <v>268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</row>
    <row r="75" spans="1:13" x14ac:dyDescent="0.25">
      <c r="A75" s="10" t="s">
        <v>270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</row>
    <row r="76" spans="1:13" x14ac:dyDescent="0.25">
      <c r="A76" s="10" t="s">
        <v>272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</row>
    <row r="77" spans="1:13" x14ac:dyDescent="0.25">
      <c r="A77" s="10" t="s">
        <v>274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</row>
    <row r="78" spans="1:13" x14ac:dyDescent="0.25">
      <c r="A78" s="10" t="s">
        <v>278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</row>
    <row r="79" spans="1:13" x14ac:dyDescent="0.25">
      <c r="A79" s="10" t="s">
        <v>280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</row>
    <row r="80" spans="1:13" x14ac:dyDescent="0.25">
      <c r="A80" s="10" t="s">
        <v>282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</row>
    <row r="81" spans="1:13" x14ac:dyDescent="0.25">
      <c r="A81" s="10" t="s">
        <v>286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</row>
    <row r="82" spans="1:13" x14ac:dyDescent="0.25">
      <c r="A82" s="10" t="s">
        <v>537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</row>
    <row r="83" spans="1:13" x14ac:dyDescent="0.25">
      <c r="A83" s="10" t="s">
        <v>290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</row>
    <row r="84" spans="1:13" x14ac:dyDescent="0.25">
      <c r="A84" s="10" t="s">
        <v>294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</row>
    <row r="85" spans="1:13" x14ac:dyDescent="0.25">
      <c r="A85" s="10" t="s">
        <v>296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</row>
    <row r="86" spans="1:13" x14ac:dyDescent="0.25">
      <c r="A86" s="10" t="s">
        <v>298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</row>
    <row r="87" spans="1:13" x14ac:dyDescent="0.25">
      <c r="A87" s="10" t="s">
        <v>300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</row>
    <row r="88" spans="1:13" x14ac:dyDescent="0.25">
      <c r="A88" s="10" t="s">
        <v>302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</row>
    <row r="89" spans="1:13" x14ac:dyDescent="0.25">
      <c r="A89" s="10" t="s">
        <v>306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</row>
    <row r="90" spans="1:13" x14ac:dyDescent="0.25">
      <c r="A90" s="10" t="s">
        <v>312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</row>
    <row r="91" spans="1:13" x14ac:dyDescent="0.25">
      <c r="A91" s="10" t="s">
        <v>314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</row>
    <row r="92" spans="1:13" x14ac:dyDescent="0.25">
      <c r="A92" s="10" t="s">
        <v>316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</row>
    <row r="93" spans="1:13" x14ac:dyDescent="0.25">
      <c r="A93" s="10" t="s">
        <v>318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</row>
    <row r="94" spans="1:13" x14ac:dyDescent="0.25">
      <c r="A94" s="10" t="s">
        <v>320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</row>
    <row r="95" spans="1:13" x14ac:dyDescent="0.25">
      <c r="A95" s="10" t="s">
        <v>322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</row>
    <row r="96" spans="1:13" x14ac:dyDescent="0.25">
      <c r="A96" s="10" t="s">
        <v>326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</row>
    <row r="97" spans="1:13" x14ac:dyDescent="0.25">
      <c r="A97" s="10" t="s">
        <v>328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</row>
    <row r="98" spans="1:13" x14ac:dyDescent="0.25">
      <c r="A98" s="10" t="s">
        <v>332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</row>
    <row r="99" spans="1:13" x14ac:dyDescent="0.25">
      <c r="A99" s="10" t="s">
        <v>334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</row>
    <row r="100" spans="1:13" x14ac:dyDescent="0.25">
      <c r="A100" s="10" t="s">
        <v>340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</row>
    <row r="101" spans="1:13" x14ac:dyDescent="0.25">
      <c r="A101" s="10" t="s">
        <v>344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</row>
    <row r="102" spans="1:13" x14ac:dyDescent="0.25">
      <c r="A102" s="10" t="s">
        <v>346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</row>
    <row r="103" spans="1:13" x14ac:dyDescent="0.25">
      <c r="A103" s="10" t="s">
        <v>348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</row>
    <row r="104" spans="1:13" x14ac:dyDescent="0.25">
      <c r="A104" s="10" t="s">
        <v>350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</row>
    <row r="105" spans="1:13" x14ac:dyDescent="0.25">
      <c r="A105" s="10" t="s">
        <v>352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</row>
    <row r="106" spans="1:13" x14ac:dyDescent="0.25">
      <c r="A106" s="10" t="s">
        <v>354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</row>
    <row r="107" spans="1:13" x14ac:dyDescent="0.25">
      <c r="A107" s="10" t="s">
        <v>356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</row>
    <row r="108" spans="1:13" x14ac:dyDescent="0.25">
      <c r="A108" s="10" t="s">
        <v>358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</row>
    <row r="109" spans="1:13" x14ac:dyDescent="0.25">
      <c r="A109" s="10" t="s">
        <v>362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</row>
    <row r="110" spans="1:13" x14ac:dyDescent="0.25">
      <c r="A110" s="10" t="s">
        <v>364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</row>
    <row r="111" spans="1:13" x14ac:dyDescent="0.25">
      <c r="A111" s="10" t="s">
        <v>366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</row>
    <row r="112" spans="1:13" x14ac:dyDescent="0.25">
      <c r="A112" s="10" t="s">
        <v>368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</row>
    <row r="113" spans="1:13" x14ac:dyDescent="0.25">
      <c r="A113" s="10" t="s">
        <v>539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</row>
    <row r="114" spans="1:13" x14ac:dyDescent="0.25">
      <c r="A114" s="10" t="s">
        <v>370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</row>
    <row r="115" spans="1:13" x14ac:dyDescent="0.25">
      <c r="A115" s="10" t="s">
        <v>372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</row>
    <row r="116" spans="1:13" x14ac:dyDescent="0.25">
      <c r="A116" s="10" t="s">
        <v>541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</row>
    <row r="117" spans="1:13" x14ac:dyDescent="0.25">
      <c r="A117" s="10" t="s">
        <v>382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</row>
    <row r="118" spans="1:13" x14ac:dyDescent="0.25">
      <c r="A118" s="10" t="s">
        <v>384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</row>
    <row r="119" spans="1:13" x14ac:dyDescent="0.25">
      <c r="A119" s="10" t="s">
        <v>386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</row>
    <row r="120" spans="1:13" x14ac:dyDescent="0.25">
      <c r="A120" s="10" t="s">
        <v>543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</row>
    <row r="121" spans="1:13" x14ac:dyDescent="0.25">
      <c r="A121" s="10" t="s">
        <v>394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</row>
    <row r="122" spans="1:13" x14ac:dyDescent="0.25">
      <c r="A122" s="10" t="s">
        <v>396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</row>
    <row r="123" spans="1:13" x14ac:dyDescent="0.25">
      <c r="A123" s="10" t="s">
        <v>545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</row>
    <row r="124" spans="1:13" x14ac:dyDescent="0.25">
      <c r="A124" s="10" t="s">
        <v>406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</row>
    <row r="125" spans="1:13" x14ac:dyDescent="0.25">
      <c r="A125" s="10" t="s">
        <v>547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</row>
    <row r="126" spans="1:13" x14ac:dyDescent="0.25">
      <c r="A126" s="10" t="s">
        <v>408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</row>
    <row r="127" spans="1:13" x14ac:dyDescent="0.25">
      <c r="A127" s="10" t="s">
        <v>549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</row>
    <row r="128" spans="1:13" x14ac:dyDescent="0.25">
      <c r="A128" s="10" t="s">
        <v>420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</row>
    <row r="129" spans="1:13" x14ac:dyDescent="0.25">
      <c r="A129" s="10" t="s">
        <v>424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</row>
    <row r="130" spans="1:13" x14ac:dyDescent="0.25">
      <c r="A130" s="10" t="s">
        <v>426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</row>
    <row r="131" spans="1:13" x14ac:dyDescent="0.25">
      <c r="A131" s="10" t="s">
        <v>551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</row>
    <row r="132" spans="1:13" x14ac:dyDescent="0.25">
      <c r="A132" s="10" t="s">
        <v>553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</row>
    <row r="133" spans="1:13" x14ac:dyDescent="0.25">
      <c r="A133" s="10" t="s">
        <v>434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</row>
    <row r="134" spans="1:13" x14ac:dyDescent="0.25">
      <c r="A134" s="10" t="s">
        <v>436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</row>
    <row r="135" spans="1:13" x14ac:dyDescent="0.25">
      <c r="A135" s="10" t="s">
        <v>438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</row>
    <row r="136" spans="1:13" x14ac:dyDescent="0.25">
      <c r="A136" s="10" t="s">
        <v>555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</row>
    <row r="137" spans="1:13" x14ac:dyDescent="0.25">
      <c r="A137" s="10" t="s">
        <v>440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</row>
    <row r="138" spans="1:13" x14ac:dyDescent="0.25">
      <c r="A138" s="10" t="s">
        <v>446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</row>
    <row r="139" spans="1:13" x14ac:dyDescent="0.25">
      <c r="A139" s="10" t="s">
        <v>450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</row>
    <row r="140" spans="1:13" x14ac:dyDescent="0.25">
      <c r="A140" s="10" t="s">
        <v>454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</row>
    <row r="141" spans="1:13" x14ac:dyDescent="0.25">
      <c r="A141" s="10" t="s">
        <v>460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</row>
    <row r="142" spans="1:13" x14ac:dyDescent="0.25">
      <c r="A142" s="10" t="s">
        <v>462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</row>
    <row r="143" spans="1:13" x14ac:dyDescent="0.25">
      <c r="A143" s="10" t="s">
        <v>466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</row>
    <row r="144" spans="1:13" x14ac:dyDescent="0.25">
      <c r="A144" s="10" t="s">
        <v>474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</row>
    <row r="145" spans="1:13" x14ac:dyDescent="0.25">
      <c r="A145" s="10" t="s">
        <v>482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</row>
    <row r="146" spans="1:13" x14ac:dyDescent="0.25">
      <c r="A146" s="10" t="s">
        <v>484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</row>
    <row r="147" spans="1:13" x14ac:dyDescent="0.25">
      <c r="A147" s="10" t="s">
        <v>486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</row>
    <row r="148" spans="1:13" x14ac:dyDescent="0.25">
      <c r="A148" s="10" t="s">
        <v>488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</row>
    <row r="149" spans="1:13" x14ac:dyDescent="0.25">
      <c r="A149" s="10" t="s">
        <v>490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</row>
    <row r="150" spans="1:13" x14ac:dyDescent="0.25">
      <c r="A150" s="10" t="s">
        <v>494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</row>
    <row r="151" spans="1:13" x14ac:dyDescent="0.25">
      <c r="A151" s="10" t="s">
        <v>500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</row>
    <row r="152" spans="1:13" x14ac:dyDescent="0.25">
      <c r="A152" s="10" t="s">
        <v>502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</row>
    <row r="153" spans="1:13" x14ac:dyDescent="0.25">
      <c r="A153" s="10" t="s">
        <v>557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</row>
    <row r="154" spans="1:13" x14ac:dyDescent="0.25">
      <c r="A154" s="10" t="s">
        <v>506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</row>
    <row r="155" spans="1:13" x14ac:dyDescent="0.25">
      <c r="A155" s="10" t="s">
        <v>559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</row>
    <row r="156" spans="1:13" x14ac:dyDescent="0.25">
      <c r="A156" s="10" t="s">
        <v>510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</row>
    <row r="157" spans="1:13" x14ac:dyDescent="0.25">
      <c r="A157" s="10" t="s">
        <v>512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4"/>
  <dimension ref="A1:N157"/>
  <sheetViews>
    <sheetView workbookViewId="0">
      <selection activeCell="B2" sqref="B2:N2"/>
    </sheetView>
  </sheetViews>
  <sheetFormatPr defaultRowHeight="12" x14ac:dyDescent="0.2"/>
  <cols>
    <col min="1" max="1" width="11.875" style="10" customWidth="1"/>
    <col min="2" max="14" width="11.625" style="15" customWidth="1"/>
    <col min="15" max="16384" width="9" style="9"/>
  </cols>
  <sheetData>
    <row r="1" spans="1:14" customFormat="1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230600,62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">
      <c r="A3" s="10" t="s">
        <v>88</v>
      </c>
      <c r="B3" s="15">
        <v>0</v>
      </c>
      <c r="C3" s="15">
        <v>50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</row>
    <row r="4" spans="1:14" x14ac:dyDescent="0.2">
      <c r="A4" s="10" t="s">
        <v>90</v>
      </c>
      <c r="B4" s="15">
        <v>0</v>
      </c>
      <c r="C4" s="15">
        <v>300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</row>
    <row r="5" spans="1:14" x14ac:dyDescent="0.2">
      <c r="A5" s="10" t="s">
        <v>94</v>
      </c>
      <c r="B5" s="15">
        <v>0</v>
      </c>
      <c r="C5" s="15">
        <v>50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</row>
    <row r="6" spans="1:14" x14ac:dyDescent="0.2">
      <c r="A6" s="10" t="s">
        <v>96</v>
      </c>
      <c r="B6" s="15">
        <v>0</v>
      </c>
      <c r="C6" s="15">
        <v>4620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</row>
    <row r="7" spans="1:14" x14ac:dyDescent="0.2">
      <c r="A7" s="10" t="s">
        <v>98</v>
      </c>
      <c r="B7" s="15">
        <v>0</v>
      </c>
      <c r="C7" s="15">
        <v>3733.8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</row>
    <row r="8" spans="1:14" x14ac:dyDescent="0.2">
      <c r="A8" s="10" t="s">
        <v>100</v>
      </c>
      <c r="B8" s="15">
        <v>0</v>
      </c>
      <c r="C8" s="15">
        <v>5290.56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</row>
    <row r="9" spans="1:14" x14ac:dyDescent="0.2">
      <c r="A9" s="10" t="s">
        <v>515</v>
      </c>
      <c r="B9" s="15">
        <v>0</v>
      </c>
      <c r="C9" s="15">
        <v>23562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</row>
    <row r="10" spans="1:14" x14ac:dyDescent="0.2">
      <c r="A10" s="10" t="s">
        <v>517</v>
      </c>
      <c r="B10" s="15">
        <v>0</v>
      </c>
      <c r="C10" s="15">
        <v>25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</row>
    <row r="11" spans="1:14" x14ac:dyDescent="0.2">
      <c r="A11" s="10" t="s">
        <v>104</v>
      </c>
      <c r="B11" s="15">
        <v>0</v>
      </c>
      <c r="C11" s="15">
        <v>300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4" x14ac:dyDescent="0.2">
      <c r="A12" s="10" t="s">
        <v>106</v>
      </c>
      <c r="B12" s="15">
        <v>0</v>
      </c>
      <c r="C12" s="15">
        <v>300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4" x14ac:dyDescent="0.2">
      <c r="A13" s="10" t="s">
        <v>110</v>
      </c>
      <c r="B13" s="15">
        <v>0</v>
      </c>
      <c r="C13" s="15">
        <v>300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</row>
    <row r="14" spans="1:14" x14ac:dyDescent="0.2">
      <c r="A14" s="10" t="s">
        <v>112</v>
      </c>
      <c r="B14" s="15">
        <v>0</v>
      </c>
      <c r="C14" s="15">
        <v>8600.7999999999993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</row>
    <row r="15" spans="1:14" x14ac:dyDescent="0.2">
      <c r="A15" s="10" t="s">
        <v>114</v>
      </c>
      <c r="B15" s="15">
        <v>0</v>
      </c>
      <c r="C15" s="15">
        <v>6666.67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</row>
    <row r="16" spans="1:14" x14ac:dyDescent="0.2">
      <c r="A16" s="10" t="s">
        <v>118</v>
      </c>
      <c r="B16" s="15">
        <v>0</v>
      </c>
      <c r="C16" s="15">
        <v>6503.75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2">
      <c r="A17" s="10" t="s">
        <v>122</v>
      </c>
      <c r="B17" s="15">
        <v>0</v>
      </c>
      <c r="C17" s="15">
        <v>9000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</row>
    <row r="18" spans="1:13" x14ac:dyDescent="0.2">
      <c r="A18" s="10" t="s">
        <v>126</v>
      </c>
      <c r="B18" s="15">
        <v>0</v>
      </c>
      <c r="C18" s="15">
        <v>3586.1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</row>
    <row r="19" spans="1:13" x14ac:dyDescent="0.2">
      <c r="A19" s="10" t="s">
        <v>128</v>
      </c>
      <c r="B19" s="15">
        <v>0</v>
      </c>
      <c r="C19" s="15">
        <v>275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</row>
    <row r="20" spans="1:13" x14ac:dyDescent="0.2">
      <c r="A20" s="10" t="s">
        <v>130</v>
      </c>
      <c r="B20" s="15">
        <v>0</v>
      </c>
      <c r="C20" s="15">
        <v>300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</row>
    <row r="21" spans="1:13" x14ac:dyDescent="0.2">
      <c r="A21" s="10" t="s">
        <v>132</v>
      </c>
      <c r="B21" s="15">
        <v>0</v>
      </c>
      <c r="C21" s="15">
        <v>3586.1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</row>
    <row r="22" spans="1:13" x14ac:dyDescent="0.2">
      <c r="A22" s="10" t="s">
        <v>134</v>
      </c>
      <c r="B22" s="15">
        <v>0</v>
      </c>
      <c r="C22" s="15">
        <v>25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</row>
    <row r="23" spans="1:13" x14ac:dyDescent="0.2">
      <c r="A23" s="10" t="s">
        <v>142</v>
      </c>
      <c r="B23" s="15">
        <v>0</v>
      </c>
      <c r="C23" s="15">
        <v>300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</row>
    <row r="24" spans="1:13" x14ac:dyDescent="0.2">
      <c r="A24" s="10" t="s">
        <v>519</v>
      </c>
      <c r="B24" s="15">
        <v>0</v>
      </c>
      <c r="C24" s="15">
        <v>378.77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</row>
    <row r="25" spans="1:13" x14ac:dyDescent="0.2">
      <c r="A25" s="10" t="s">
        <v>144</v>
      </c>
      <c r="B25" s="15">
        <v>0</v>
      </c>
      <c r="C25" s="15">
        <v>5840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</row>
    <row r="26" spans="1:13" x14ac:dyDescent="0.2">
      <c r="A26" s="10" t="s">
        <v>146</v>
      </c>
      <c r="B26" s="15">
        <v>0</v>
      </c>
      <c r="C26" s="15">
        <v>2956.25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</row>
    <row r="27" spans="1:13" x14ac:dyDescent="0.2">
      <c r="A27" s="10" t="s">
        <v>148</v>
      </c>
      <c r="B27" s="15">
        <v>0</v>
      </c>
      <c r="C27" s="15">
        <v>3506.25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</row>
    <row r="28" spans="1:13" x14ac:dyDescent="0.2">
      <c r="A28" s="10" t="s">
        <v>150</v>
      </c>
      <c r="B28" s="15">
        <v>0</v>
      </c>
      <c r="C28" s="15">
        <v>300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</row>
    <row r="29" spans="1:13" x14ac:dyDescent="0.2">
      <c r="A29" s="10" t="s">
        <v>152</v>
      </c>
      <c r="B29" s="15">
        <v>0</v>
      </c>
      <c r="C29" s="15">
        <v>4547.3999999999996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</row>
    <row r="30" spans="1:13" x14ac:dyDescent="0.2">
      <c r="A30" s="10" t="s">
        <v>154</v>
      </c>
      <c r="B30" s="15">
        <v>0</v>
      </c>
      <c r="C30" s="15">
        <v>300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</row>
    <row r="31" spans="1:13" x14ac:dyDescent="0.2">
      <c r="A31" s="10" t="s">
        <v>158</v>
      </c>
      <c r="B31" s="15">
        <v>0</v>
      </c>
      <c r="C31" s="15">
        <v>2956.25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</row>
    <row r="32" spans="1:13" x14ac:dyDescent="0.2">
      <c r="A32" s="10" t="s">
        <v>160</v>
      </c>
      <c r="B32" s="15">
        <v>0</v>
      </c>
      <c r="C32" s="15">
        <v>225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</row>
    <row r="33" spans="1:13" x14ac:dyDescent="0.2">
      <c r="A33" s="10" t="s">
        <v>162</v>
      </c>
      <c r="B33" s="15">
        <v>0</v>
      </c>
      <c r="C33" s="15">
        <v>50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</row>
    <row r="34" spans="1:13" x14ac:dyDescent="0.2">
      <c r="A34" s="10" t="s">
        <v>521</v>
      </c>
      <c r="B34" s="15">
        <v>0</v>
      </c>
      <c r="C34" s="15">
        <v>3000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</row>
    <row r="35" spans="1:13" x14ac:dyDescent="0.2">
      <c r="A35" s="10" t="s">
        <v>166</v>
      </c>
      <c r="B35" s="15">
        <v>0</v>
      </c>
      <c r="C35" s="15">
        <v>3734.5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</row>
    <row r="36" spans="1:13" x14ac:dyDescent="0.2">
      <c r="A36" s="10" t="s">
        <v>168</v>
      </c>
      <c r="B36" s="15">
        <v>0</v>
      </c>
      <c r="C36" s="15">
        <v>11242.84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</row>
    <row r="37" spans="1:13" x14ac:dyDescent="0.2">
      <c r="A37" s="10" t="s">
        <v>170</v>
      </c>
      <c r="B37" s="15">
        <v>0</v>
      </c>
      <c r="C37" s="15">
        <v>125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</row>
    <row r="38" spans="1:13" x14ac:dyDescent="0.2">
      <c r="A38" s="10" t="s">
        <v>172</v>
      </c>
      <c r="B38" s="15">
        <v>0</v>
      </c>
      <c r="C38" s="15">
        <v>300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</row>
    <row r="39" spans="1:13" x14ac:dyDescent="0.2">
      <c r="A39" s="10" t="s">
        <v>176</v>
      </c>
      <c r="B39" s="15">
        <v>0</v>
      </c>
      <c r="C39" s="15">
        <v>3520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</row>
    <row r="40" spans="1:13" x14ac:dyDescent="0.2">
      <c r="A40" s="10" t="s">
        <v>180</v>
      </c>
      <c r="B40" s="15">
        <v>0</v>
      </c>
      <c r="C40" s="15">
        <v>175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</row>
    <row r="41" spans="1:13" x14ac:dyDescent="0.2">
      <c r="A41" s="10" t="s">
        <v>182</v>
      </c>
      <c r="B41" s="15">
        <v>0</v>
      </c>
      <c r="C41" s="15">
        <v>3815.41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</row>
    <row r="42" spans="1:13" x14ac:dyDescent="0.2">
      <c r="A42" s="10" t="s">
        <v>186</v>
      </c>
      <c r="B42" s="15">
        <v>0</v>
      </c>
      <c r="C42" s="15">
        <v>250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</row>
    <row r="43" spans="1:13" x14ac:dyDescent="0.2">
      <c r="A43" s="10" t="s">
        <v>188</v>
      </c>
      <c r="B43" s="15">
        <v>0</v>
      </c>
      <c r="C43" s="15">
        <v>50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</row>
    <row r="44" spans="1:13" x14ac:dyDescent="0.2">
      <c r="A44" s="10" t="s">
        <v>192</v>
      </c>
      <c r="B44" s="15">
        <v>0</v>
      </c>
      <c r="C44" s="15">
        <v>3630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</row>
    <row r="45" spans="1:13" x14ac:dyDescent="0.2">
      <c r="A45" s="10" t="s">
        <v>523</v>
      </c>
      <c r="B45" s="15">
        <v>0</v>
      </c>
      <c r="C45" s="15">
        <v>3246.2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</row>
    <row r="46" spans="1:13" x14ac:dyDescent="0.2">
      <c r="A46" s="10" t="s">
        <v>194</v>
      </c>
      <c r="B46" s="15">
        <v>0</v>
      </c>
      <c r="C46" s="15">
        <v>1655.13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</row>
    <row r="47" spans="1:13" x14ac:dyDescent="0.2">
      <c r="A47" s="10" t="s">
        <v>525</v>
      </c>
      <c r="B47" s="15">
        <v>0</v>
      </c>
      <c r="C47" s="15">
        <v>850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</row>
    <row r="48" spans="1:13" x14ac:dyDescent="0.2">
      <c r="A48" s="10" t="s">
        <v>196</v>
      </c>
      <c r="B48" s="15">
        <v>0</v>
      </c>
      <c r="C48" s="15">
        <v>50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</row>
    <row r="49" spans="1:13" x14ac:dyDescent="0.2">
      <c r="A49" s="10" t="s">
        <v>200</v>
      </c>
      <c r="B49" s="15">
        <v>0</v>
      </c>
      <c r="C49" s="15">
        <v>4551.58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</row>
    <row r="50" spans="1:13" x14ac:dyDescent="0.2">
      <c r="A50" s="10" t="s">
        <v>527</v>
      </c>
      <c r="B50" s="15">
        <v>0</v>
      </c>
      <c r="C50" s="15">
        <v>188.74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</row>
    <row r="51" spans="1:13" x14ac:dyDescent="0.2">
      <c r="A51" s="10" t="s">
        <v>204</v>
      </c>
      <c r="B51" s="15">
        <v>0</v>
      </c>
      <c r="C51" s="15">
        <v>1296.68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</row>
    <row r="52" spans="1:13" x14ac:dyDescent="0.2">
      <c r="A52" s="10" t="s">
        <v>529</v>
      </c>
      <c r="B52" s="15">
        <v>0</v>
      </c>
      <c r="C52" s="15">
        <v>50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</row>
    <row r="53" spans="1:13" x14ac:dyDescent="0.2">
      <c r="A53" s="10" t="s">
        <v>206</v>
      </c>
      <c r="B53" s="15">
        <v>0</v>
      </c>
      <c r="C53" s="15">
        <v>300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</row>
    <row r="54" spans="1:13" x14ac:dyDescent="0.2">
      <c r="A54" s="10" t="s">
        <v>214</v>
      </c>
      <c r="B54" s="15">
        <v>0</v>
      </c>
      <c r="C54" s="15">
        <v>300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</row>
    <row r="55" spans="1:13" x14ac:dyDescent="0.2">
      <c r="A55" s="10" t="s">
        <v>216</v>
      </c>
      <c r="B55" s="15">
        <v>0</v>
      </c>
      <c r="C55" s="15">
        <v>150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</row>
    <row r="56" spans="1:13" x14ac:dyDescent="0.2">
      <c r="A56" s="10" t="s">
        <v>222</v>
      </c>
      <c r="B56" s="15">
        <v>0</v>
      </c>
      <c r="C56" s="15">
        <v>300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</row>
    <row r="57" spans="1:13" x14ac:dyDescent="0.2">
      <c r="A57" s="10" t="s">
        <v>224</v>
      </c>
      <c r="B57" s="15">
        <v>0</v>
      </c>
      <c r="C57" s="15">
        <v>25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</row>
    <row r="58" spans="1:13" x14ac:dyDescent="0.2">
      <c r="A58" s="10" t="s">
        <v>226</v>
      </c>
      <c r="B58" s="15">
        <v>0</v>
      </c>
      <c r="C58" s="15">
        <v>300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</row>
    <row r="59" spans="1:13" x14ac:dyDescent="0.2">
      <c r="A59" s="10" t="s">
        <v>531</v>
      </c>
      <c r="B59" s="15">
        <v>0</v>
      </c>
      <c r="C59" s="15">
        <v>100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</row>
    <row r="60" spans="1:13" x14ac:dyDescent="0.2">
      <c r="A60" s="10" t="s">
        <v>232</v>
      </c>
      <c r="B60" s="15">
        <v>0</v>
      </c>
      <c r="C60" s="15">
        <v>3922.38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</row>
    <row r="61" spans="1:13" x14ac:dyDescent="0.2">
      <c r="A61" s="10" t="s">
        <v>236</v>
      </c>
      <c r="B61" s="15">
        <v>0</v>
      </c>
      <c r="C61" s="15">
        <v>300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</row>
    <row r="62" spans="1:13" x14ac:dyDescent="0.2">
      <c r="A62" s="10" t="s">
        <v>533</v>
      </c>
      <c r="B62" s="15">
        <v>0</v>
      </c>
      <c r="C62" s="15">
        <v>75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</row>
    <row r="63" spans="1:13" x14ac:dyDescent="0.2">
      <c r="A63" s="10" t="s">
        <v>238</v>
      </c>
      <c r="B63" s="15">
        <v>0</v>
      </c>
      <c r="C63" s="15">
        <v>300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</row>
    <row r="64" spans="1:13" x14ac:dyDescent="0.2">
      <c r="A64" s="10" t="s">
        <v>242</v>
      </c>
      <c r="B64" s="15">
        <v>0</v>
      </c>
      <c r="C64" s="15">
        <v>300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</row>
    <row r="65" spans="1:13" x14ac:dyDescent="0.2">
      <c r="A65" s="10" t="s">
        <v>244</v>
      </c>
      <c r="B65" s="15">
        <v>0</v>
      </c>
      <c r="C65" s="15">
        <v>25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</row>
    <row r="66" spans="1:13" x14ac:dyDescent="0.2">
      <c r="A66" s="10" t="s">
        <v>535</v>
      </c>
      <c r="B66" s="15">
        <v>0</v>
      </c>
      <c r="C66" s="15">
        <v>100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</row>
    <row r="67" spans="1:13" x14ac:dyDescent="0.2">
      <c r="A67" s="10" t="s">
        <v>246</v>
      </c>
      <c r="B67" s="15">
        <v>0</v>
      </c>
      <c r="C67" s="15">
        <v>25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</row>
    <row r="68" spans="1:13" x14ac:dyDescent="0.2">
      <c r="A68" s="10" t="s">
        <v>250</v>
      </c>
      <c r="B68" s="15">
        <v>0</v>
      </c>
      <c r="C68" s="15">
        <v>300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</row>
    <row r="69" spans="1:13" x14ac:dyDescent="0.2">
      <c r="A69" s="10" t="s">
        <v>252</v>
      </c>
      <c r="B69" s="15">
        <v>0</v>
      </c>
      <c r="C69" s="15">
        <v>300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</row>
    <row r="70" spans="1:13" x14ac:dyDescent="0.2">
      <c r="A70" s="10" t="s">
        <v>256</v>
      </c>
      <c r="B70" s="15">
        <v>0</v>
      </c>
      <c r="C70" s="15">
        <v>300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</row>
    <row r="71" spans="1:13" x14ac:dyDescent="0.2">
      <c r="A71" s="10" t="s">
        <v>262</v>
      </c>
      <c r="B71" s="15">
        <v>0</v>
      </c>
      <c r="C71" s="15">
        <v>75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</row>
    <row r="72" spans="1:13" x14ac:dyDescent="0.2">
      <c r="A72" s="10" t="s">
        <v>264</v>
      </c>
      <c r="B72" s="15">
        <v>0</v>
      </c>
      <c r="C72" s="15">
        <v>50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</row>
    <row r="73" spans="1:13" x14ac:dyDescent="0.2">
      <c r="A73" s="10" t="s">
        <v>266</v>
      </c>
      <c r="B73" s="15">
        <v>0</v>
      </c>
      <c r="C73" s="15">
        <v>300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</row>
    <row r="74" spans="1:13" x14ac:dyDescent="0.2">
      <c r="A74" s="10" t="s">
        <v>268</v>
      </c>
      <c r="B74" s="15">
        <v>0</v>
      </c>
      <c r="C74" s="15">
        <v>275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</row>
    <row r="75" spans="1:13" x14ac:dyDescent="0.2">
      <c r="A75" s="10" t="s">
        <v>270</v>
      </c>
      <c r="B75" s="15">
        <v>0</v>
      </c>
      <c r="C75" s="15">
        <v>300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</row>
    <row r="76" spans="1:13" x14ac:dyDescent="0.2">
      <c r="A76" s="10" t="s">
        <v>272</v>
      </c>
      <c r="B76" s="15">
        <v>0</v>
      </c>
      <c r="C76" s="15">
        <v>300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</row>
    <row r="77" spans="1:13" x14ac:dyDescent="0.2">
      <c r="A77" s="10" t="s">
        <v>274</v>
      </c>
      <c r="B77" s="15">
        <v>0</v>
      </c>
      <c r="C77" s="15">
        <v>250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</row>
    <row r="78" spans="1:13" x14ac:dyDescent="0.2">
      <c r="A78" s="10" t="s">
        <v>278</v>
      </c>
      <c r="B78" s="15">
        <v>0</v>
      </c>
      <c r="C78" s="15">
        <v>300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</row>
    <row r="79" spans="1:13" x14ac:dyDescent="0.2">
      <c r="A79" s="10" t="s">
        <v>280</v>
      </c>
      <c r="B79" s="15">
        <v>0</v>
      </c>
      <c r="C79" s="15">
        <v>300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</row>
    <row r="80" spans="1:13" x14ac:dyDescent="0.2">
      <c r="A80" s="10" t="s">
        <v>282</v>
      </c>
      <c r="B80" s="15">
        <v>0</v>
      </c>
      <c r="C80" s="15">
        <v>300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</row>
    <row r="81" spans="1:13" x14ac:dyDescent="0.2">
      <c r="A81" s="10" t="s">
        <v>286</v>
      </c>
      <c r="B81" s="15">
        <v>0</v>
      </c>
      <c r="C81" s="15">
        <v>300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</row>
    <row r="82" spans="1:13" x14ac:dyDescent="0.2">
      <c r="A82" s="10" t="s">
        <v>537</v>
      </c>
      <c r="B82" s="15">
        <v>0</v>
      </c>
      <c r="C82" s="15">
        <v>125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</row>
    <row r="83" spans="1:13" x14ac:dyDescent="0.2">
      <c r="A83" s="10" t="s">
        <v>290</v>
      </c>
      <c r="B83" s="15">
        <v>0</v>
      </c>
      <c r="C83" s="15">
        <v>75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</row>
    <row r="84" spans="1:13" x14ac:dyDescent="0.2">
      <c r="A84" s="10" t="s">
        <v>294</v>
      </c>
      <c r="B84" s="15">
        <v>0</v>
      </c>
      <c r="C84" s="15">
        <v>50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</row>
    <row r="85" spans="1:13" x14ac:dyDescent="0.2">
      <c r="A85" s="10" t="s">
        <v>296</v>
      </c>
      <c r="B85" s="15">
        <v>0</v>
      </c>
      <c r="C85" s="15">
        <v>50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</row>
    <row r="86" spans="1:13" x14ac:dyDescent="0.2">
      <c r="A86" s="10" t="s">
        <v>298</v>
      </c>
      <c r="B86" s="15">
        <v>0</v>
      </c>
      <c r="C86" s="15">
        <v>300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</row>
    <row r="87" spans="1:13" x14ac:dyDescent="0.2">
      <c r="A87" s="10" t="s">
        <v>300</v>
      </c>
      <c r="B87" s="15">
        <v>0</v>
      </c>
      <c r="C87" s="15">
        <v>225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</row>
    <row r="88" spans="1:13" x14ac:dyDescent="0.2">
      <c r="A88" s="10" t="s">
        <v>302</v>
      </c>
      <c r="B88" s="15">
        <v>0</v>
      </c>
      <c r="C88" s="15">
        <v>275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</row>
    <row r="89" spans="1:13" x14ac:dyDescent="0.2">
      <c r="A89" s="10" t="s">
        <v>306</v>
      </c>
      <c r="B89" s="15">
        <v>0</v>
      </c>
      <c r="C89" s="15">
        <v>2000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</row>
    <row r="90" spans="1:13" x14ac:dyDescent="0.2">
      <c r="A90" s="10" t="s">
        <v>312</v>
      </c>
      <c r="B90" s="15">
        <v>0</v>
      </c>
      <c r="C90" s="15">
        <v>300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</row>
    <row r="91" spans="1:13" x14ac:dyDescent="0.2">
      <c r="A91" s="10" t="s">
        <v>314</v>
      </c>
      <c r="B91" s="15">
        <v>0</v>
      </c>
      <c r="C91" s="15">
        <v>300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</row>
    <row r="92" spans="1:13" x14ac:dyDescent="0.2">
      <c r="A92" s="10" t="s">
        <v>316</v>
      </c>
      <c r="B92" s="15">
        <v>0</v>
      </c>
      <c r="C92" s="15">
        <v>7409.5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</row>
    <row r="93" spans="1:13" x14ac:dyDescent="0.2">
      <c r="A93" s="10" t="s">
        <v>318</v>
      </c>
      <c r="B93" s="15">
        <v>0</v>
      </c>
      <c r="C93" s="15">
        <v>300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</row>
    <row r="94" spans="1:13" x14ac:dyDescent="0.2">
      <c r="A94" s="10" t="s">
        <v>320</v>
      </c>
      <c r="B94" s="15">
        <v>0</v>
      </c>
      <c r="C94" s="15">
        <v>300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</row>
    <row r="95" spans="1:13" x14ac:dyDescent="0.2">
      <c r="A95" s="10" t="s">
        <v>322</v>
      </c>
      <c r="B95" s="15">
        <v>0</v>
      </c>
      <c r="C95" s="15">
        <v>300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</row>
    <row r="96" spans="1:13" x14ac:dyDescent="0.2">
      <c r="A96" s="10" t="s">
        <v>326</v>
      </c>
      <c r="B96" s="15">
        <v>0</v>
      </c>
      <c r="C96" s="15">
        <v>300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</row>
    <row r="97" spans="1:13" x14ac:dyDescent="0.2">
      <c r="A97" s="10" t="s">
        <v>328</v>
      </c>
      <c r="B97" s="15">
        <v>0</v>
      </c>
      <c r="C97" s="15">
        <v>50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</row>
    <row r="98" spans="1:13" x14ac:dyDescent="0.2">
      <c r="A98" s="10" t="s">
        <v>332</v>
      </c>
      <c r="B98" s="15">
        <v>0</v>
      </c>
      <c r="C98" s="15">
        <v>300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</row>
    <row r="99" spans="1:13" x14ac:dyDescent="0.2">
      <c r="A99" s="10" t="s">
        <v>334</v>
      </c>
      <c r="B99" s="15">
        <v>0</v>
      </c>
      <c r="C99" s="15">
        <v>150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</row>
    <row r="100" spans="1:13" x14ac:dyDescent="0.2">
      <c r="A100" s="10" t="s">
        <v>340</v>
      </c>
      <c r="B100" s="15">
        <v>0</v>
      </c>
      <c r="C100" s="15">
        <v>300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</row>
    <row r="101" spans="1:13" x14ac:dyDescent="0.2">
      <c r="A101" s="10" t="s">
        <v>344</v>
      </c>
      <c r="B101" s="15">
        <v>0</v>
      </c>
      <c r="C101" s="15">
        <v>300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</row>
    <row r="102" spans="1:13" x14ac:dyDescent="0.2">
      <c r="A102" s="10" t="s">
        <v>346</v>
      </c>
      <c r="B102" s="15">
        <v>0</v>
      </c>
      <c r="C102" s="15">
        <v>275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</row>
    <row r="103" spans="1:13" x14ac:dyDescent="0.2">
      <c r="A103" s="10" t="s">
        <v>348</v>
      </c>
      <c r="B103" s="15">
        <v>0</v>
      </c>
      <c r="C103" s="15">
        <v>300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</row>
    <row r="104" spans="1:13" x14ac:dyDescent="0.2">
      <c r="A104" s="10" t="s">
        <v>350</v>
      </c>
      <c r="B104" s="15">
        <v>0</v>
      </c>
      <c r="C104" s="15">
        <v>275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</row>
    <row r="105" spans="1:13" x14ac:dyDescent="0.2">
      <c r="A105" s="10" t="s">
        <v>352</v>
      </c>
      <c r="B105" s="15">
        <v>0</v>
      </c>
      <c r="C105" s="15">
        <v>250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</row>
    <row r="106" spans="1:13" x14ac:dyDescent="0.2">
      <c r="A106" s="10" t="s">
        <v>354</v>
      </c>
      <c r="B106" s="15">
        <v>0</v>
      </c>
      <c r="C106" s="15">
        <v>300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</row>
    <row r="107" spans="1:13" x14ac:dyDescent="0.2">
      <c r="A107" s="10" t="s">
        <v>356</v>
      </c>
      <c r="B107" s="15">
        <v>0</v>
      </c>
      <c r="C107" s="15">
        <v>300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</row>
    <row r="108" spans="1:13" x14ac:dyDescent="0.2">
      <c r="A108" s="10" t="s">
        <v>358</v>
      </c>
      <c r="B108" s="15">
        <v>0</v>
      </c>
      <c r="C108" s="15">
        <v>275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</row>
    <row r="109" spans="1:13" x14ac:dyDescent="0.2">
      <c r="A109" s="10" t="s">
        <v>362</v>
      </c>
      <c r="B109" s="15">
        <v>0</v>
      </c>
      <c r="C109" s="15">
        <v>7500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</row>
    <row r="110" spans="1:13" x14ac:dyDescent="0.2">
      <c r="A110" s="10" t="s">
        <v>364</v>
      </c>
      <c r="B110" s="15">
        <v>0</v>
      </c>
      <c r="C110" s="15">
        <v>300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</row>
    <row r="111" spans="1:13" x14ac:dyDescent="0.2">
      <c r="A111" s="10" t="s">
        <v>366</v>
      </c>
      <c r="B111" s="15">
        <v>0</v>
      </c>
      <c r="C111" s="15">
        <v>300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</row>
    <row r="112" spans="1:13" x14ac:dyDescent="0.2">
      <c r="A112" s="10" t="s">
        <v>368</v>
      </c>
      <c r="B112" s="15">
        <v>0</v>
      </c>
      <c r="C112" s="15">
        <v>75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</row>
    <row r="113" spans="1:13" x14ac:dyDescent="0.2">
      <c r="A113" s="10" t="s">
        <v>539</v>
      </c>
      <c r="B113" s="15">
        <v>0</v>
      </c>
      <c r="C113" s="15">
        <v>250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</row>
    <row r="114" spans="1:13" x14ac:dyDescent="0.2">
      <c r="A114" s="10" t="s">
        <v>370</v>
      </c>
      <c r="B114" s="15">
        <v>0</v>
      </c>
      <c r="C114" s="15">
        <v>300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</row>
    <row r="115" spans="1:13" x14ac:dyDescent="0.2">
      <c r="A115" s="10" t="s">
        <v>372</v>
      </c>
      <c r="B115" s="15">
        <v>0</v>
      </c>
      <c r="C115" s="15">
        <v>300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</row>
    <row r="116" spans="1:13" x14ac:dyDescent="0.2">
      <c r="A116" s="10" t="s">
        <v>541</v>
      </c>
      <c r="B116" s="15">
        <v>0</v>
      </c>
      <c r="C116" s="15">
        <v>250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</row>
    <row r="117" spans="1:13" x14ac:dyDescent="0.2">
      <c r="A117" s="10" t="s">
        <v>382</v>
      </c>
      <c r="B117" s="15">
        <v>0</v>
      </c>
      <c r="C117" s="15">
        <v>100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</row>
    <row r="118" spans="1:13" x14ac:dyDescent="0.2">
      <c r="A118" s="10" t="s">
        <v>384</v>
      </c>
      <c r="B118" s="15">
        <v>0</v>
      </c>
      <c r="C118" s="15">
        <v>300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</row>
    <row r="119" spans="1:13" x14ac:dyDescent="0.2">
      <c r="A119" s="10" t="s">
        <v>386</v>
      </c>
      <c r="B119" s="15">
        <v>0</v>
      </c>
      <c r="C119" s="15">
        <v>300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</row>
    <row r="120" spans="1:13" x14ac:dyDescent="0.2">
      <c r="A120" s="10" t="s">
        <v>543</v>
      </c>
      <c r="B120" s="15">
        <v>0</v>
      </c>
      <c r="C120" s="15">
        <v>25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</row>
    <row r="121" spans="1:13" x14ac:dyDescent="0.2">
      <c r="A121" s="10" t="s">
        <v>394</v>
      </c>
      <c r="B121" s="15">
        <v>0</v>
      </c>
      <c r="C121" s="15">
        <v>175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</row>
    <row r="122" spans="1:13" x14ac:dyDescent="0.2">
      <c r="A122" s="10" t="s">
        <v>396</v>
      </c>
      <c r="B122" s="15">
        <v>0</v>
      </c>
      <c r="C122" s="15">
        <v>250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</row>
    <row r="123" spans="1:13" x14ac:dyDescent="0.2">
      <c r="A123" s="10" t="s">
        <v>545</v>
      </c>
      <c r="B123" s="15">
        <v>0</v>
      </c>
      <c r="C123" s="15">
        <v>25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</row>
    <row r="124" spans="1:13" x14ac:dyDescent="0.2">
      <c r="A124" s="10" t="s">
        <v>406</v>
      </c>
      <c r="B124" s="15">
        <v>0</v>
      </c>
      <c r="C124" s="15">
        <v>50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</row>
    <row r="125" spans="1:13" x14ac:dyDescent="0.2">
      <c r="A125" s="10" t="s">
        <v>547</v>
      </c>
      <c r="B125" s="15">
        <v>0</v>
      </c>
      <c r="C125" s="15">
        <v>5776.55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</row>
    <row r="126" spans="1:13" x14ac:dyDescent="0.2">
      <c r="A126" s="10" t="s">
        <v>408</v>
      </c>
      <c r="B126" s="15">
        <v>0</v>
      </c>
      <c r="C126" s="15">
        <v>5517.07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</row>
    <row r="127" spans="1:13" x14ac:dyDescent="0.2">
      <c r="A127" s="10" t="s">
        <v>549</v>
      </c>
      <c r="B127" s="15">
        <v>0</v>
      </c>
      <c r="C127" s="15">
        <v>150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</row>
    <row r="128" spans="1:13" x14ac:dyDescent="0.2">
      <c r="A128" s="10" t="s">
        <v>420</v>
      </c>
      <c r="B128" s="15">
        <v>0</v>
      </c>
      <c r="C128" s="15">
        <v>300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</row>
    <row r="129" spans="1:13" x14ac:dyDescent="0.2">
      <c r="A129" s="10" t="s">
        <v>424</v>
      </c>
      <c r="B129" s="15">
        <v>0</v>
      </c>
      <c r="C129" s="15">
        <v>300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</row>
    <row r="130" spans="1:13" x14ac:dyDescent="0.2">
      <c r="A130" s="10" t="s">
        <v>426</v>
      </c>
      <c r="B130" s="15">
        <v>0</v>
      </c>
      <c r="C130" s="15">
        <v>150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</row>
    <row r="131" spans="1:13" x14ac:dyDescent="0.2">
      <c r="A131" s="10" t="s">
        <v>551</v>
      </c>
      <c r="B131" s="15">
        <v>0</v>
      </c>
      <c r="C131" s="15">
        <v>75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</row>
    <row r="132" spans="1:13" x14ac:dyDescent="0.2">
      <c r="A132" s="10" t="s">
        <v>553</v>
      </c>
      <c r="B132" s="15">
        <v>0</v>
      </c>
      <c r="C132" s="15">
        <v>200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</row>
    <row r="133" spans="1:13" x14ac:dyDescent="0.2">
      <c r="A133" s="10" t="s">
        <v>434</v>
      </c>
      <c r="B133" s="15">
        <v>0</v>
      </c>
      <c r="C133" s="15">
        <v>1653.76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</row>
    <row r="134" spans="1:13" x14ac:dyDescent="0.2">
      <c r="A134" s="10" t="s">
        <v>436</v>
      </c>
      <c r="B134" s="15">
        <v>0</v>
      </c>
      <c r="C134" s="15">
        <v>275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</row>
    <row r="135" spans="1:13" x14ac:dyDescent="0.2">
      <c r="A135" s="10" t="s">
        <v>438</v>
      </c>
      <c r="B135" s="15">
        <v>0</v>
      </c>
      <c r="C135" s="15">
        <v>100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</row>
    <row r="136" spans="1:13" x14ac:dyDescent="0.2">
      <c r="A136" s="10" t="s">
        <v>555</v>
      </c>
      <c r="B136" s="15">
        <v>0</v>
      </c>
      <c r="C136" s="15">
        <v>100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</row>
    <row r="137" spans="1:13" x14ac:dyDescent="0.2">
      <c r="A137" s="10" t="s">
        <v>440</v>
      </c>
      <c r="B137" s="15">
        <v>0</v>
      </c>
      <c r="C137" s="15">
        <v>300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</row>
    <row r="138" spans="1:13" x14ac:dyDescent="0.2">
      <c r="A138" s="10" t="s">
        <v>446</v>
      </c>
      <c r="B138" s="15">
        <v>0</v>
      </c>
      <c r="C138" s="15">
        <v>50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</row>
    <row r="139" spans="1:13" x14ac:dyDescent="0.2">
      <c r="A139" s="10" t="s">
        <v>450</v>
      </c>
      <c r="B139" s="15">
        <v>0</v>
      </c>
      <c r="C139" s="15">
        <v>250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</row>
    <row r="140" spans="1:13" x14ac:dyDescent="0.2">
      <c r="A140" s="10" t="s">
        <v>454</v>
      </c>
      <c r="B140" s="15">
        <v>0</v>
      </c>
      <c r="C140" s="15">
        <v>275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</row>
    <row r="141" spans="1:13" x14ac:dyDescent="0.2">
      <c r="A141" s="10" t="s">
        <v>460</v>
      </c>
      <c r="B141" s="15">
        <v>0</v>
      </c>
      <c r="C141" s="15">
        <v>300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</row>
    <row r="142" spans="1:13" x14ac:dyDescent="0.2">
      <c r="A142" s="10" t="s">
        <v>462</v>
      </c>
      <c r="B142" s="15">
        <v>0</v>
      </c>
      <c r="C142" s="15">
        <v>300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</row>
    <row r="143" spans="1:13" x14ac:dyDescent="0.2">
      <c r="A143" s="10" t="s">
        <v>466</v>
      </c>
      <c r="B143" s="15">
        <v>0</v>
      </c>
      <c r="C143" s="15">
        <v>600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</row>
    <row r="144" spans="1:13" x14ac:dyDescent="0.2">
      <c r="A144" s="10" t="s">
        <v>474</v>
      </c>
      <c r="B144" s="15">
        <v>0</v>
      </c>
      <c r="C144" s="15">
        <v>275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</row>
    <row r="145" spans="1:13" x14ac:dyDescent="0.2">
      <c r="A145" s="10" t="s">
        <v>482</v>
      </c>
      <c r="B145" s="15">
        <v>0</v>
      </c>
      <c r="C145" s="15">
        <v>300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</row>
    <row r="146" spans="1:13" x14ac:dyDescent="0.2">
      <c r="A146" s="10" t="s">
        <v>484</v>
      </c>
      <c r="B146" s="15">
        <v>0</v>
      </c>
      <c r="C146" s="15">
        <v>125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</row>
    <row r="147" spans="1:13" x14ac:dyDescent="0.2">
      <c r="A147" s="10" t="s">
        <v>486</v>
      </c>
      <c r="B147" s="15">
        <v>0</v>
      </c>
      <c r="C147" s="15">
        <v>5517.07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</row>
    <row r="148" spans="1:13" x14ac:dyDescent="0.2">
      <c r="A148" s="10" t="s">
        <v>488</v>
      </c>
      <c r="B148" s="15">
        <v>0</v>
      </c>
      <c r="C148" s="15">
        <v>300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</row>
    <row r="149" spans="1:13" x14ac:dyDescent="0.2">
      <c r="A149" s="10" t="s">
        <v>490</v>
      </c>
      <c r="B149" s="15">
        <v>0</v>
      </c>
      <c r="C149" s="15">
        <v>3724.03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</row>
    <row r="150" spans="1:13" x14ac:dyDescent="0.2">
      <c r="A150" s="10" t="s">
        <v>494</v>
      </c>
      <c r="B150" s="15">
        <v>0</v>
      </c>
      <c r="C150" s="15">
        <v>3192.75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</row>
    <row r="151" spans="1:13" x14ac:dyDescent="0.2">
      <c r="A151" s="10" t="s">
        <v>500</v>
      </c>
      <c r="B151" s="15">
        <v>0</v>
      </c>
      <c r="C151" s="15">
        <v>7721.73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</row>
    <row r="152" spans="1:13" x14ac:dyDescent="0.2">
      <c r="A152" s="10" t="s">
        <v>502</v>
      </c>
      <c r="B152" s="15">
        <v>0</v>
      </c>
      <c r="C152" s="15">
        <v>50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</row>
    <row r="153" spans="1:13" x14ac:dyDescent="0.2">
      <c r="A153" s="10" t="s">
        <v>557</v>
      </c>
      <c r="B153" s="15">
        <v>0</v>
      </c>
      <c r="C153" s="15">
        <v>25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</row>
    <row r="154" spans="1:13" x14ac:dyDescent="0.2">
      <c r="A154" s="10" t="s">
        <v>506</v>
      </c>
      <c r="B154" s="15">
        <v>0</v>
      </c>
      <c r="C154" s="15">
        <v>75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</row>
    <row r="155" spans="1:13" x14ac:dyDescent="0.2">
      <c r="A155" s="10" t="s">
        <v>559</v>
      </c>
      <c r="B155" s="15">
        <v>0</v>
      </c>
      <c r="C155" s="15">
        <v>100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</row>
    <row r="156" spans="1:13" x14ac:dyDescent="0.2">
      <c r="A156" s="10" t="s">
        <v>510</v>
      </c>
      <c r="B156" s="15">
        <v>0</v>
      </c>
      <c r="C156" s="15">
        <v>300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</row>
    <row r="157" spans="1:13" x14ac:dyDescent="0.2">
      <c r="A157" s="10" t="s">
        <v>512</v>
      </c>
      <c r="B157" s="15">
        <v>0</v>
      </c>
      <c r="C157" s="15">
        <v>16000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6"/>
  <dimension ref="A1:D157"/>
  <sheetViews>
    <sheetView topLeftCell="B1" workbookViewId="0">
      <selection activeCell="B7" sqref="B7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  <col min="4" max="4" width="9.375" style="9" customWidth="1"/>
  </cols>
  <sheetData>
    <row r="1" spans="1:4" ht="47.85" customHeight="1" x14ac:dyDescent="0.25">
      <c r="A1" s="26" t="s">
        <v>69</v>
      </c>
      <c r="B1" s="27"/>
      <c r="C1" s="27"/>
      <c r="D1" s="27"/>
    </row>
    <row r="2" spans="1:4" ht="60" x14ac:dyDescent="0.25">
      <c r="A2" s="4"/>
      <c r="B2" s="4" t="s">
        <v>0</v>
      </c>
      <c r="C2" s="4" t="s">
        <v>23</v>
      </c>
      <c r="D2" s="4" t="s">
        <v>29</v>
      </c>
    </row>
    <row r="3" spans="1:4" x14ac:dyDescent="0.25">
      <c r="A3" s="10" t="s">
        <v>88</v>
      </c>
      <c r="B3" s="10" t="s">
        <v>88</v>
      </c>
      <c r="C3" s="9" t="s">
        <v>89</v>
      </c>
    </row>
    <row r="4" spans="1:4" x14ac:dyDescent="0.25">
      <c r="A4" s="10" t="s">
        <v>90</v>
      </c>
      <c r="B4" s="10" t="s">
        <v>90</v>
      </c>
      <c r="C4" s="9" t="s">
        <v>91</v>
      </c>
    </row>
    <row r="5" spans="1:4" x14ac:dyDescent="0.25">
      <c r="A5" s="10" t="s">
        <v>94</v>
      </c>
      <c r="B5" s="10" t="s">
        <v>94</v>
      </c>
      <c r="C5" s="9" t="s">
        <v>95</v>
      </c>
    </row>
    <row r="6" spans="1:4" x14ac:dyDescent="0.25">
      <c r="A6" s="10" t="s">
        <v>96</v>
      </c>
      <c r="B6" s="10" t="s">
        <v>96</v>
      </c>
      <c r="C6" s="9" t="s">
        <v>97</v>
      </c>
    </row>
    <row r="7" spans="1:4" x14ac:dyDescent="0.25">
      <c r="A7" s="10" t="s">
        <v>98</v>
      </c>
      <c r="B7" s="10" t="s">
        <v>98</v>
      </c>
      <c r="C7" s="9" t="s">
        <v>99</v>
      </c>
    </row>
    <row r="8" spans="1:4" x14ac:dyDescent="0.25">
      <c r="A8" s="10" t="s">
        <v>100</v>
      </c>
      <c r="B8" s="10" t="s">
        <v>100</v>
      </c>
      <c r="C8" s="9" t="s">
        <v>101</v>
      </c>
    </row>
    <row r="9" spans="1:4" x14ac:dyDescent="0.25">
      <c r="A9" s="10" t="s">
        <v>515</v>
      </c>
      <c r="B9" s="10" t="s">
        <v>515</v>
      </c>
      <c r="C9" s="9" t="s">
        <v>516</v>
      </c>
    </row>
    <row r="10" spans="1:4" x14ac:dyDescent="0.25">
      <c r="A10" s="10" t="s">
        <v>517</v>
      </c>
      <c r="B10" s="10" t="s">
        <v>517</v>
      </c>
      <c r="C10" s="9" t="s">
        <v>518</v>
      </c>
    </row>
    <row r="11" spans="1:4" x14ac:dyDescent="0.25">
      <c r="A11" s="10" t="s">
        <v>104</v>
      </c>
      <c r="B11" s="10" t="s">
        <v>104</v>
      </c>
      <c r="C11" s="9" t="s">
        <v>105</v>
      </c>
    </row>
    <row r="12" spans="1:4" x14ac:dyDescent="0.25">
      <c r="A12" s="10" t="s">
        <v>106</v>
      </c>
      <c r="B12" s="10" t="s">
        <v>106</v>
      </c>
      <c r="C12" s="9" t="s">
        <v>107</v>
      </c>
    </row>
    <row r="13" spans="1:4" x14ac:dyDescent="0.25">
      <c r="A13" s="10" t="s">
        <v>110</v>
      </c>
      <c r="B13" s="10" t="s">
        <v>110</v>
      </c>
      <c r="C13" s="9" t="s">
        <v>111</v>
      </c>
    </row>
    <row r="14" spans="1:4" x14ac:dyDescent="0.25">
      <c r="A14" s="10" t="s">
        <v>112</v>
      </c>
      <c r="B14" s="10" t="s">
        <v>112</v>
      </c>
      <c r="C14" s="9" t="s">
        <v>113</v>
      </c>
    </row>
    <row r="15" spans="1:4" x14ac:dyDescent="0.25">
      <c r="A15" s="10" t="s">
        <v>114</v>
      </c>
      <c r="B15" s="10" t="s">
        <v>114</v>
      </c>
      <c r="C15" s="9" t="s">
        <v>115</v>
      </c>
    </row>
    <row r="16" spans="1:4" x14ac:dyDescent="0.25">
      <c r="A16" s="10" t="s">
        <v>118</v>
      </c>
      <c r="B16" s="10" t="s">
        <v>118</v>
      </c>
      <c r="C16" s="9" t="s">
        <v>119</v>
      </c>
    </row>
    <row r="17" spans="1:3" x14ac:dyDescent="0.25">
      <c r="A17" s="10" t="s">
        <v>122</v>
      </c>
      <c r="B17" s="10" t="s">
        <v>122</v>
      </c>
      <c r="C17" s="9" t="s">
        <v>123</v>
      </c>
    </row>
    <row r="18" spans="1:3" x14ac:dyDescent="0.25">
      <c r="A18" s="10" t="s">
        <v>126</v>
      </c>
      <c r="B18" s="10" t="s">
        <v>126</v>
      </c>
      <c r="C18" s="9" t="s">
        <v>127</v>
      </c>
    </row>
    <row r="19" spans="1:3" x14ac:dyDescent="0.25">
      <c r="A19" s="10" t="s">
        <v>128</v>
      </c>
      <c r="B19" s="10" t="s">
        <v>128</v>
      </c>
      <c r="C19" s="9" t="s">
        <v>129</v>
      </c>
    </row>
    <row r="20" spans="1:3" x14ac:dyDescent="0.25">
      <c r="A20" s="10" t="s">
        <v>130</v>
      </c>
      <c r="B20" s="10" t="s">
        <v>130</v>
      </c>
      <c r="C20" s="9" t="s">
        <v>131</v>
      </c>
    </row>
    <row r="21" spans="1:3" x14ac:dyDescent="0.25">
      <c r="A21" s="10" t="s">
        <v>132</v>
      </c>
      <c r="B21" s="10" t="s">
        <v>132</v>
      </c>
      <c r="C21" s="9" t="s">
        <v>133</v>
      </c>
    </row>
    <row r="22" spans="1:3" x14ac:dyDescent="0.25">
      <c r="A22" s="10" t="s">
        <v>134</v>
      </c>
      <c r="B22" s="10" t="s">
        <v>134</v>
      </c>
      <c r="C22" s="9" t="s">
        <v>135</v>
      </c>
    </row>
    <row r="23" spans="1:3" x14ac:dyDescent="0.25">
      <c r="A23" s="10" t="s">
        <v>142</v>
      </c>
      <c r="B23" s="10" t="s">
        <v>142</v>
      </c>
      <c r="C23" s="9" t="s">
        <v>143</v>
      </c>
    </row>
    <row r="24" spans="1:3" x14ac:dyDescent="0.25">
      <c r="A24" s="10" t="s">
        <v>519</v>
      </c>
      <c r="B24" s="10" t="s">
        <v>519</v>
      </c>
      <c r="C24" s="9" t="s">
        <v>520</v>
      </c>
    </row>
    <row r="25" spans="1:3" x14ac:dyDescent="0.25">
      <c r="A25" s="10" t="s">
        <v>144</v>
      </c>
      <c r="B25" s="10" t="s">
        <v>144</v>
      </c>
      <c r="C25" s="9" t="s">
        <v>145</v>
      </c>
    </row>
    <row r="26" spans="1:3" x14ac:dyDescent="0.25">
      <c r="A26" s="10" t="s">
        <v>146</v>
      </c>
      <c r="B26" s="10" t="s">
        <v>146</v>
      </c>
      <c r="C26" s="9" t="s">
        <v>147</v>
      </c>
    </row>
    <row r="27" spans="1:3" x14ac:dyDescent="0.25">
      <c r="A27" s="10" t="s">
        <v>148</v>
      </c>
      <c r="B27" s="10" t="s">
        <v>148</v>
      </c>
      <c r="C27" s="9" t="s">
        <v>149</v>
      </c>
    </row>
    <row r="28" spans="1:3" x14ac:dyDescent="0.25">
      <c r="A28" s="10" t="s">
        <v>150</v>
      </c>
      <c r="B28" s="10" t="s">
        <v>150</v>
      </c>
      <c r="C28" s="9" t="s">
        <v>151</v>
      </c>
    </row>
    <row r="29" spans="1:3" x14ac:dyDescent="0.25">
      <c r="A29" s="10" t="s">
        <v>152</v>
      </c>
      <c r="B29" s="10" t="s">
        <v>152</v>
      </c>
      <c r="C29" s="9" t="s">
        <v>153</v>
      </c>
    </row>
    <row r="30" spans="1:3" x14ac:dyDescent="0.25">
      <c r="A30" s="10" t="s">
        <v>154</v>
      </c>
      <c r="B30" s="10" t="s">
        <v>154</v>
      </c>
      <c r="C30" s="9" t="s">
        <v>155</v>
      </c>
    </row>
    <row r="31" spans="1:3" x14ac:dyDescent="0.25">
      <c r="A31" s="10" t="s">
        <v>158</v>
      </c>
      <c r="B31" s="10" t="s">
        <v>158</v>
      </c>
      <c r="C31" s="9" t="s">
        <v>159</v>
      </c>
    </row>
    <row r="32" spans="1:3" x14ac:dyDescent="0.25">
      <c r="A32" s="10" t="s">
        <v>160</v>
      </c>
      <c r="B32" s="10" t="s">
        <v>160</v>
      </c>
      <c r="C32" s="9" t="s">
        <v>161</v>
      </c>
    </row>
    <row r="33" spans="1:3" x14ac:dyDescent="0.25">
      <c r="A33" s="10" t="s">
        <v>162</v>
      </c>
      <c r="B33" s="10" t="s">
        <v>162</v>
      </c>
      <c r="C33" s="9" t="s">
        <v>163</v>
      </c>
    </row>
    <row r="34" spans="1:3" x14ac:dyDescent="0.25">
      <c r="A34" s="10" t="s">
        <v>521</v>
      </c>
      <c r="B34" s="10" t="s">
        <v>521</v>
      </c>
      <c r="C34" s="9" t="s">
        <v>522</v>
      </c>
    </row>
    <row r="35" spans="1:3" x14ac:dyDescent="0.25">
      <c r="A35" s="10" t="s">
        <v>166</v>
      </c>
      <c r="B35" s="10" t="s">
        <v>166</v>
      </c>
      <c r="C35" s="9" t="s">
        <v>167</v>
      </c>
    </row>
    <row r="36" spans="1:3" x14ac:dyDescent="0.25">
      <c r="A36" s="10" t="s">
        <v>168</v>
      </c>
      <c r="B36" s="10" t="s">
        <v>168</v>
      </c>
      <c r="C36" s="9" t="s">
        <v>169</v>
      </c>
    </row>
    <row r="37" spans="1:3" x14ac:dyDescent="0.25">
      <c r="A37" s="10" t="s">
        <v>170</v>
      </c>
      <c r="B37" s="10" t="s">
        <v>170</v>
      </c>
      <c r="C37" s="9" t="s">
        <v>171</v>
      </c>
    </row>
    <row r="38" spans="1:3" x14ac:dyDescent="0.25">
      <c r="A38" s="10" t="s">
        <v>172</v>
      </c>
      <c r="B38" s="10" t="s">
        <v>172</v>
      </c>
      <c r="C38" s="9" t="s">
        <v>173</v>
      </c>
    </row>
    <row r="39" spans="1:3" x14ac:dyDescent="0.25">
      <c r="A39" s="10" t="s">
        <v>176</v>
      </c>
      <c r="B39" s="10" t="s">
        <v>176</v>
      </c>
      <c r="C39" s="9" t="s">
        <v>177</v>
      </c>
    </row>
    <row r="40" spans="1:3" x14ac:dyDescent="0.25">
      <c r="A40" s="10" t="s">
        <v>180</v>
      </c>
      <c r="B40" s="10" t="s">
        <v>180</v>
      </c>
      <c r="C40" s="9" t="s">
        <v>181</v>
      </c>
    </row>
    <row r="41" spans="1:3" x14ac:dyDescent="0.25">
      <c r="A41" s="10" t="s">
        <v>182</v>
      </c>
      <c r="B41" s="10" t="s">
        <v>182</v>
      </c>
      <c r="C41" s="9" t="s">
        <v>183</v>
      </c>
    </row>
    <row r="42" spans="1:3" x14ac:dyDescent="0.25">
      <c r="A42" s="10" t="s">
        <v>186</v>
      </c>
      <c r="B42" s="10" t="s">
        <v>186</v>
      </c>
      <c r="C42" s="9" t="s">
        <v>187</v>
      </c>
    </row>
    <row r="43" spans="1:3" x14ac:dyDescent="0.25">
      <c r="A43" s="10" t="s">
        <v>188</v>
      </c>
      <c r="B43" s="10" t="s">
        <v>188</v>
      </c>
      <c r="C43" s="9" t="s">
        <v>189</v>
      </c>
    </row>
    <row r="44" spans="1:3" x14ac:dyDescent="0.25">
      <c r="A44" s="10" t="s">
        <v>192</v>
      </c>
      <c r="B44" s="10" t="s">
        <v>192</v>
      </c>
      <c r="C44" s="9" t="s">
        <v>193</v>
      </c>
    </row>
    <row r="45" spans="1:3" x14ac:dyDescent="0.25">
      <c r="A45" s="10" t="s">
        <v>523</v>
      </c>
      <c r="B45" s="10" t="s">
        <v>523</v>
      </c>
      <c r="C45" s="9" t="s">
        <v>524</v>
      </c>
    </row>
    <row r="46" spans="1:3" x14ac:dyDescent="0.25">
      <c r="A46" s="10" t="s">
        <v>194</v>
      </c>
      <c r="B46" s="10" t="s">
        <v>194</v>
      </c>
      <c r="C46" s="9" t="s">
        <v>195</v>
      </c>
    </row>
    <row r="47" spans="1:3" x14ac:dyDescent="0.25">
      <c r="A47" s="10" t="s">
        <v>525</v>
      </c>
      <c r="B47" s="10" t="s">
        <v>525</v>
      </c>
      <c r="C47" s="9" t="s">
        <v>526</v>
      </c>
    </row>
    <row r="48" spans="1:3" x14ac:dyDescent="0.25">
      <c r="A48" s="10" t="s">
        <v>196</v>
      </c>
      <c r="B48" s="10" t="s">
        <v>196</v>
      </c>
      <c r="C48" s="9" t="s">
        <v>197</v>
      </c>
    </row>
    <row r="49" spans="1:3" x14ac:dyDescent="0.25">
      <c r="A49" s="10" t="s">
        <v>200</v>
      </c>
      <c r="B49" s="10" t="s">
        <v>200</v>
      </c>
      <c r="C49" s="9" t="s">
        <v>201</v>
      </c>
    </row>
    <row r="50" spans="1:3" x14ac:dyDescent="0.25">
      <c r="A50" s="10" t="s">
        <v>527</v>
      </c>
      <c r="B50" s="10" t="s">
        <v>527</v>
      </c>
      <c r="C50" s="9" t="s">
        <v>528</v>
      </c>
    </row>
    <row r="51" spans="1:3" x14ac:dyDescent="0.25">
      <c r="A51" s="10" t="s">
        <v>204</v>
      </c>
      <c r="B51" s="10" t="s">
        <v>204</v>
      </c>
      <c r="C51" s="9" t="s">
        <v>205</v>
      </c>
    </row>
    <row r="52" spans="1:3" x14ac:dyDescent="0.25">
      <c r="A52" s="10" t="s">
        <v>529</v>
      </c>
      <c r="B52" s="10" t="s">
        <v>529</v>
      </c>
      <c r="C52" s="9" t="s">
        <v>530</v>
      </c>
    </row>
    <row r="53" spans="1:3" x14ac:dyDescent="0.25">
      <c r="A53" s="10" t="s">
        <v>206</v>
      </c>
      <c r="B53" s="10" t="s">
        <v>206</v>
      </c>
      <c r="C53" s="9" t="s">
        <v>207</v>
      </c>
    </row>
    <row r="54" spans="1:3" x14ac:dyDescent="0.25">
      <c r="A54" s="10" t="s">
        <v>214</v>
      </c>
      <c r="B54" s="10" t="s">
        <v>214</v>
      </c>
      <c r="C54" s="9" t="s">
        <v>215</v>
      </c>
    </row>
    <row r="55" spans="1:3" x14ac:dyDescent="0.25">
      <c r="A55" s="10" t="s">
        <v>216</v>
      </c>
      <c r="B55" s="10" t="s">
        <v>216</v>
      </c>
      <c r="C55" s="9" t="s">
        <v>217</v>
      </c>
    </row>
    <row r="56" spans="1:3" x14ac:dyDescent="0.25">
      <c r="A56" s="10" t="s">
        <v>222</v>
      </c>
      <c r="B56" s="10" t="s">
        <v>222</v>
      </c>
      <c r="C56" s="9" t="s">
        <v>223</v>
      </c>
    </row>
    <row r="57" spans="1:3" x14ac:dyDescent="0.25">
      <c r="A57" s="10" t="s">
        <v>224</v>
      </c>
      <c r="B57" s="10" t="s">
        <v>224</v>
      </c>
      <c r="C57" s="9" t="s">
        <v>225</v>
      </c>
    </row>
    <row r="58" spans="1:3" x14ac:dyDescent="0.25">
      <c r="A58" s="10" t="s">
        <v>226</v>
      </c>
      <c r="B58" s="10" t="s">
        <v>226</v>
      </c>
      <c r="C58" s="9" t="s">
        <v>227</v>
      </c>
    </row>
    <row r="59" spans="1:3" x14ac:dyDescent="0.25">
      <c r="A59" s="10" t="s">
        <v>531</v>
      </c>
      <c r="B59" s="10" t="s">
        <v>531</v>
      </c>
      <c r="C59" s="9" t="s">
        <v>532</v>
      </c>
    </row>
    <row r="60" spans="1:3" x14ac:dyDescent="0.25">
      <c r="A60" s="10" t="s">
        <v>232</v>
      </c>
      <c r="B60" s="10" t="s">
        <v>232</v>
      </c>
      <c r="C60" s="9" t="s">
        <v>233</v>
      </c>
    </row>
    <row r="61" spans="1:3" x14ac:dyDescent="0.25">
      <c r="A61" s="10" t="s">
        <v>236</v>
      </c>
      <c r="B61" s="10" t="s">
        <v>236</v>
      </c>
      <c r="C61" s="9" t="s">
        <v>237</v>
      </c>
    </row>
    <row r="62" spans="1:3" x14ac:dyDescent="0.25">
      <c r="A62" s="10" t="s">
        <v>533</v>
      </c>
      <c r="B62" s="10" t="s">
        <v>533</v>
      </c>
      <c r="C62" s="9" t="s">
        <v>534</v>
      </c>
    </row>
    <row r="63" spans="1:3" x14ac:dyDescent="0.25">
      <c r="A63" s="10" t="s">
        <v>238</v>
      </c>
      <c r="B63" s="10" t="s">
        <v>238</v>
      </c>
      <c r="C63" s="9" t="s">
        <v>239</v>
      </c>
    </row>
    <row r="64" spans="1:3" x14ac:dyDescent="0.25">
      <c r="A64" s="10" t="s">
        <v>242</v>
      </c>
      <c r="B64" s="10" t="s">
        <v>242</v>
      </c>
      <c r="C64" s="9" t="s">
        <v>243</v>
      </c>
    </row>
    <row r="65" spans="1:3" x14ac:dyDescent="0.25">
      <c r="A65" s="10" t="s">
        <v>244</v>
      </c>
      <c r="B65" s="10" t="s">
        <v>244</v>
      </c>
      <c r="C65" s="9" t="s">
        <v>245</v>
      </c>
    </row>
    <row r="66" spans="1:3" x14ac:dyDescent="0.25">
      <c r="A66" s="10" t="s">
        <v>535</v>
      </c>
      <c r="B66" s="10" t="s">
        <v>535</v>
      </c>
      <c r="C66" s="9" t="s">
        <v>536</v>
      </c>
    </row>
    <row r="67" spans="1:3" x14ac:dyDescent="0.25">
      <c r="A67" s="10" t="s">
        <v>246</v>
      </c>
      <c r="B67" s="10" t="s">
        <v>246</v>
      </c>
      <c r="C67" s="9" t="s">
        <v>247</v>
      </c>
    </row>
    <row r="68" spans="1:3" x14ac:dyDescent="0.25">
      <c r="A68" s="10" t="s">
        <v>250</v>
      </c>
      <c r="B68" s="10" t="s">
        <v>250</v>
      </c>
      <c r="C68" s="9" t="s">
        <v>251</v>
      </c>
    </row>
    <row r="69" spans="1:3" x14ac:dyDescent="0.25">
      <c r="A69" s="10" t="s">
        <v>252</v>
      </c>
      <c r="B69" s="10" t="s">
        <v>252</v>
      </c>
      <c r="C69" s="9" t="s">
        <v>253</v>
      </c>
    </row>
    <row r="70" spans="1:3" x14ac:dyDescent="0.25">
      <c r="A70" s="10" t="s">
        <v>256</v>
      </c>
      <c r="B70" s="10" t="s">
        <v>256</v>
      </c>
      <c r="C70" s="9" t="s">
        <v>257</v>
      </c>
    </row>
    <row r="71" spans="1:3" x14ac:dyDescent="0.25">
      <c r="A71" s="10" t="s">
        <v>262</v>
      </c>
      <c r="B71" s="10" t="s">
        <v>262</v>
      </c>
      <c r="C71" s="9" t="s">
        <v>263</v>
      </c>
    </row>
    <row r="72" spans="1:3" x14ac:dyDescent="0.25">
      <c r="A72" s="10" t="s">
        <v>264</v>
      </c>
      <c r="B72" s="10" t="s">
        <v>264</v>
      </c>
      <c r="C72" s="9" t="s">
        <v>265</v>
      </c>
    </row>
    <row r="73" spans="1:3" x14ac:dyDescent="0.25">
      <c r="A73" s="10" t="s">
        <v>266</v>
      </c>
      <c r="B73" s="10" t="s">
        <v>266</v>
      </c>
      <c r="C73" s="9" t="s">
        <v>267</v>
      </c>
    </row>
    <row r="74" spans="1:3" x14ac:dyDescent="0.25">
      <c r="A74" s="10" t="s">
        <v>268</v>
      </c>
      <c r="B74" s="10" t="s">
        <v>268</v>
      </c>
      <c r="C74" s="9" t="s">
        <v>269</v>
      </c>
    </row>
    <row r="75" spans="1:3" x14ac:dyDescent="0.25">
      <c r="A75" s="10" t="s">
        <v>270</v>
      </c>
      <c r="B75" s="10" t="s">
        <v>270</v>
      </c>
      <c r="C75" s="9" t="s">
        <v>271</v>
      </c>
    </row>
    <row r="76" spans="1:3" x14ac:dyDescent="0.25">
      <c r="A76" s="10" t="s">
        <v>272</v>
      </c>
      <c r="B76" s="10" t="s">
        <v>272</v>
      </c>
      <c r="C76" s="9" t="s">
        <v>273</v>
      </c>
    </row>
    <row r="77" spans="1:3" x14ac:dyDescent="0.25">
      <c r="A77" s="10" t="s">
        <v>274</v>
      </c>
      <c r="B77" s="10" t="s">
        <v>274</v>
      </c>
      <c r="C77" s="9" t="s">
        <v>275</v>
      </c>
    </row>
    <row r="78" spans="1:3" x14ac:dyDescent="0.25">
      <c r="A78" s="10" t="s">
        <v>278</v>
      </c>
      <c r="B78" s="10" t="s">
        <v>278</v>
      </c>
      <c r="C78" s="9" t="s">
        <v>279</v>
      </c>
    </row>
    <row r="79" spans="1:3" x14ac:dyDescent="0.25">
      <c r="A79" s="10" t="s">
        <v>280</v>
      </c>
      <c r="B79" s="10" t="s">
        <v>280</v>
      </c>
      <c r="C79" s="9" t="s">
        <v>281</v>
      </c>
    </row>
    <row r="80" spans="1:3" x14ac:dyDescent="0.25">
      <c r="A80" s="10" t="s">
        <v>282</v>
      </c>
      <c r="B80" s="10" t="s">
        <v>282</v>
      </c>
      <c r="C80" s="9" t="s">
        <v>283</v>
      </c>
    </row>
    <row r="81" spans="1:3" x14ac:dyDescent="0.25">
      <c r="A81" s="10" t="s">
        <v>286</v>
      </c>
      <c r="B81" s="10" t="s">
        <v>286</v>
      </c>
      <c r="C81" s="9" t="s">
        <v>287</v>
      </c>
    </row>
    <row r="82" spans="1:3" x14ac:dyDescent="0.25">
      <c r="A82" s="10" t="s">
        <v>537</v>
      </c>
      <c r="B82" s="10" t="s">
        <v>537</v>
      </c>
      <c r="C82" s="9" t="s">
        <v>538</v>
      </c>
    </row>
    <row r="83" spans="1:3" x14ac:dyDescent="0.25">
      <c r="A83" s="10" t="s">
        <v>290</v>
      </c>
      <c r="B83" s="10" t="s">
        <v>290</v>
      </c>
      <c r="C83" s="9" t="s">
        <v>291</v>
      </c>
    </row>
    <row r="84" spans="1:3" x14ac:dyDescent="0.25">
      <c r="A84" s="10" t="s">
        <v>294</v>
      </c>
      <c r="B84" s="10" t="s">
        <v>294</v>
      </c>
      <c r="C84" s="9" t="s">
        <v>295</v>
      </c>
    </row>
    <row r="85" spans="1:3" x14ac:dyDescent="0.25">
      <c r="A85" s="10" t="s">
        <v>296</v>
      </c>
      <c r="B85" s="10" t="s">
        <v>296</v>
      </c>
      <c r="C85" s="9" t="s">
        <v>297</v>
      </c>
    </row>
    <row r="86" spans="1:3" x14ac:dyDescent="0.25">
      <c r="A86" s="10" t="s">
        <v>298</v>
      </c>
      <c r="B86" s="10" t="s">
        <v>298</v>
      </c>
      <c r="C86" s="9" t="s">
        <v>299</v>
      </c>
    </row>
    <row r="87" spans="1:3" x14ac:dyDescent="0.25">
      <c r="A87" s="10" t="s">
        <v>300</v>
      </c>
      <c r="B87" s="10" t="s">
        <v>300</v>
      </c>
      <c r="C87" s="9" t="s">
        <v>301</v>
      </c>
    </row>
    <row r="88" spans="1:3" x14ac:dyDescent="0.25">
      <c r="A88" s="10" t="s">
        <v>302</v>
      </c>
      <c r="B88" s="10" t="s">
        <v>302</v>
      </c>
      <c r="C88" s="9" t="s">
        <v>303</v>
      </c>
    </row>
    <row r="89" spans="1:3" x14ac:dyDescent="0.25">
      <c r="A89" s="10" t="s">
        <v>306</v>
      </c>
      <c r="B89" s="10" t="s">
        <v>306</v>
      </c>
      <c r="C89" s="9" t="s">
        <v>307</v>
      </c>
    </row>
    <row r="90" spans="1:3" x14ac:dyDescent="0.25">
      <c r="A90" s="10" t="s">
        <v>312</v>
      </c>
      <c r="B90" s="10" t="s">
        <v>312</v>
      </c>
      <c r="C90" s="9" t="s">
        <v>313</v>
      </c>
    </row>
    <row r="91" spans="1:3" x14ac:dyDescent="0.25">
      <c r="A91" s="10" t="s">
        <v>314</v>
      </c>
      <c r="B91" s="10" t="s">
        <v>314</v>
      </c>
      <c r="C91" s="9" t="s">
        <v>315</v>
      </c>
    </row>
    <row r="92" spans="1:3" x14ac:dyDescent="0.25">
      <c r="A92" s="10" t="s">
        <v>316</v>
      </c>
      <c r="B92" s="10" t="s">
        <v>316</v>
      </c>
      <c r="C92" s="9" t="s">
        <v>317</v>
      </c>
    </row>
    <row r="93" spans="1:3" x14ac:dyDescent="0.25">
      <c r="A93" s="10" t="s">
        <v>318</v>
      </c>
      <c r="B93" s="10" t="s">
        <v>318</v>
      </c>
      <c r="C93" s="9" t="s">
        <v>319</v>
      </c>
    </row>
    <row r="94" spans="1:3" x14ac:dyDescent="0.25">
      <c r="A94" s="10" t="s">
        <v>320</v>
      </c>
      <c r="B94" s="10" t="s">
        <v>320</v>
      </c>
      <c r="C94" s="9" t="s">
        <v>321</v>
      </c>
    </row>
    <row r="95" spans="1:3" x14ac:dyDescent="0.25">
      <c r="A95" s="10" t="s">
        <v>322</v>
      </c>
      <c r="B95" s="10" t="s">
        <v>322</v>
      </c>
      <c r="C95" s="9" t="s">
        <v>323</v>
      </c>
    </row>
    <row r="96" spans="1:3" x14ac:dyDescent="0.25">
      <c r="A96" s="10" t="s">
        <v>326</v>
      </c>
      <c r="B96" s="10" t="s">
        <v>326</v>
      </c>
      <c r="C96" s="9" t="s">
        <v>327</v>
      </c>
    </row>
    <row r="97" spans="1:3" x14ac:dyDescent="0.25">
      <c r="A97" s="10" t="s">
        <v>328</v>
      </c>
      <c r="B97" s="10" t="s">
        <v>328</v>
      </c>
      <c r="C97" s="9" t="s">
        <v>329</v>
      </c>
    </row>
    <row r="98" spans="1:3" x14ac:dyDescent="0.25">
      <c r="A98" s="10" t="s">
        <v>332</v>
      </c>
      <c r="B98" s="10" t="s">
        <v>332</v>
      </c>
      <c r="C98" s="9" t="s">
        <v>333</v>
      </c>
    </row>
    <row r="99" spans="1:3" x14ac:dyDescent="0.25">
      <c r="A99" s="10" t="s">
        <v>334</v>
      </c>
      <c r="B99" s="10" t="s">
        <v>334</v>
      </c>
      <c r="C99" s="9" t="s">
        <v>335</v>
      </c>
    </row>
    <row r="100" spans="1:3" x14ac:dyDescent="0.25">
      <c r="A100" s="10" t="s">
        <v>340</v>
      </c>
      <c r="B100" s="10" t="s">
        <v>340</v>
      </c>
      <c r="C100" s="9" t="s">
        <v>341</v>
      </c>
    </row>
    <row r="101" spans="1:3" x14ac:dyDescent="0.25">
      <c r="A101" s="10" t="s">
        <v>344</v>
      </c>
      <c r="B101" s="10" t="s">
        <v>344</v>
      </c>
      <c r="C101" s="9" t="s">
        <v>345</v>
      </c>
    </row>
    <row r="102" spans="1:3" x14ac:dyDescent="0.25">
      <c r="A102" s="10" t="s">
        <v>346</v>
      </c>
      <c r="B102" s="10" t="s">
        <v>346</v>
      </c>
      <c r="C102" s="9" t="s">
        <v>347</v>
      </c>
    </row>
    <row r="103" spans="1:3" x14ac:dyDescent="0.25">
      <c r="A103" s="10" t="s">
        <v>348</v>
      </c>
      <c r="B103" s="10" t="s">
        <v>348</v>
      </c>
      <c r="C103" s="9" t="s">
        <v>349</v>
      </c>
    </row>
    <row r="104" spans="1:3" x14ac:dyDescent="0.25">
      <c r="A104" s="10" t="s">
        <v>350</v>
      </c>
      <c r="B104" s="10" t="s">
        <v>350</v>
      </c>
      <c r="C104" s="9" t="s">
        <v>351</v>
      </c>
    </row>
    <row r="105" spans="1:3" x14ac:dyDescent="0.25">
      <c r="A105" s="10" t="s">
        <v>352</v>
      </c>
      <c r="B105" s="10" t="s">
        <v>352</v>
      </c>
      <c r="C105" s="9" t="s">
        <v>353</v>
      </c>
    </row>
    <row r="106" spans="1:3" x14ac:dyDescent="0.25">
      <c r="A106" s="10" t="s">
        <v>354</v>
      </c>
      <c r="B106" s="10" t="s">
        <v>354</v>
      </c>
      <c r="C106" s="9" t="s">
        <v>355</v>
      </c>
    </row>
    <row r="107" spans="1:3" x14ac:dyDescent="0.25">
      <c r="A107" s="10" t="s">
        <v>356</v>
      </c>
      <c r="B107" s="10" t="s">
        <v>356</v>
      </c>
      <c r="C107" s="9" t="s">
        <v>357</v>
      </c>
    </row>
    <row r="108" spans="1:3" x14ac:dyDescent="0.25">
      <c r="A108" s="10" t="s">
        <v>358</v>
      </c>
      <c r="B108" s="10" t="s">
        <v>358</v>
      </c>
      <c r="C108" s="9" t="s">
        <v>359</v>
      </c>
    </row>
    <row r="109" spans="1:3" x14ac:dyDescent="0.25">
      <c r="A109" s="10" t="s">
        <v>362</v>
      </c>
      <c r="B109" s="10" t="s">
        <v>362</v>
      </c>
      <c r="C109" s="9" t="s">
        <v>363</v>
      </c>
    </row>
    <row r="110" spans="1:3" x14ac:dyDescent="0.25">
      <c r="A110" s="10" t="s">
        <v>364</v>
      </c>
      <c r="B110" s="10" t="s">
        <v>364</v>
      </c>
      <c r="C110" s="9" t="s">
        <v>365</v>
      </c>
    </row>
    <row r="111" spans="1:3" x14ac:dyDescent="0.25">
      <c r="A111" s="10" t="s">
        <v>366</v>
      </c>
      <c r="B111" s="10" t="s">
        <v>366</v>
      </c>
      <c r="C111" s="9" t="s">
        <v>367</v>
      </c>
    </row>
    <row r="112" spans="1:3" x14ac:dyDescent="0.25">
      <c r="A112" s="10" t="s">
        <v>368</v>
      </c>
      <c r="B112" s="10" t="s">
        <v>368</v>
      </c>
      <c r="C112" s="9" t="s">
        <v>369</v>
      </c>
    </row>
    <row r="113" spans="1:3" x14ac:dyDescent="0.25">
      <c r="A113" s="10" t="s">
        <v>539</v>
      </c>
      <c r="B113" s="10" t="s">
        <v>539</v>
      </c>
      <c r="C113" s="9" t="s">
        <v>540</v>
      </c>
    </row>
    <row r="114" spans="1:3" x14ac:dyDescent="0.25">
      <c r="A114" s="10" t="s">
        <v>370</v>
      </c>
      <c r="B114" s="10" t="s">
        <v>370</v>
      </c>
      <c r="C114" s="9" t="s">
        <v>371</v>
      </c>
    </row>
    <row r="115" spans="1:3" x14ac:dyDescent="0.25">
      <c r="A115" s="10" t="s">
        <v>372</v>
      </c>
      <c r="B115" s="10" t="s">
        <v>372</v>
      </c>
      <c r="C115" s="9" t="s">
        <v>373</v>
      </c>
    </row>
    <row r="116" spans="1:3" x14ac:dyDescent="0.25">
      <c r="A116" s="10" t="s">
        <v>541</v>
      </c>
      <c r="B116" s="10" t="s">
        <v>541</v>
      </c>
      <c r="C116" s="9" t="s">
        <v>542</v>
      </c>
    </row>
    <row r="117" spans="1:3" x14ac:dyDescent="0.25">
      <c r="A117" s="10" t="s">
        <v>382</v>
      </c>
      <c r="B117" s="10" t="s">
        <v>382</v>
      </c>
      <c r="C117" s="9" t="s">
        <v>383</v>
      </c>
    </row>
    <row r="118" spans="1:3" x14ac:dyDescent="0.25">
      <c r="A118" s="10" t="s">
        <v>384</v>
      </c>
      <c r="B118" s="10" t="s">
        <v>384</v>
      </c>
      <c r="C118" s="9" t="s">
        <v>385</v>
      </c>
    </row>
    <row r="119" spans="1:3" x14ac:dyDescent="0.25">
      <c r="A119" s="10" t="s">
        <v>386</v>
      </c>
      <c r="B119" s="10" t="s">
        <v>386</v>
      </c>
      <c r="C119" s="9" t="s">
        <v>387</v>
      </c>
    </row>
    <row r="120" spans="1:3" x14ac:dyDescent="0.25">
      <c r="A120" s="10" t="s">
        <v>543</v>
      </c>
      <c r="B120" s="10" t="s">
        <v>543</v>
      </c>
      <c r="C120" s="9" t="s">
        <v>544</v>
      </c>
    </row>
    <row r="121" spans="1:3" x14ac:dyDescent="0.25">
      <c r="A121" s="10" t="s">
        <v>394</v>
      </c>
      <c r="B121" s="10" t="s">
        <v>394</v>
      </c>
      <c r="C121" s="9" t="s">
        <v>395</v>
      </c>
    </row>
    <row r="122" spans="1:3" x14ac:dyDescent="0.25">
      <c r="A122" s="10" t="s">
        <v>396</v>
      </c>
      <c r="B122" s="10" t="s">
        <v>396</v>
      </c>
      <c r="C122" s="9" t="s">
        <v>397</v>
      </c>
    </row>
    <row r="123" spans="1:3" x14ac:dyDescent="0.25">
      <c r="A123" s="10" t="s">
        <v>545</v>
      </c>
      <c r="B123" s="10" t="s">
        <v>545</v>
      </c>
      <c r="C123" s="9" t="s">
        <v>546</v>
      </c>
    </row>
    <row r="124" spans="1:3" x14ac:dyDescent="0.25">
      <c r="A124" s="10" t="s">
        <v>406</v>
      </c>
      <c r="B124" s="10" t="s">
        <v>406</v>
      </c>
      <c r="C124" s="9" t="s">
        <v>407</v>
      </c>
    </row>
    <row r="125" spans="1:3" x14ac:dyDescent="0.25">
      <c r="A125" s="10" t="s">
        <v>547</v>
      </c>
      <c r="B125" s="10" t="s">
        <v>547</v>
      </c>
      <c r="C125" s="9" t="s">
        <v>548</v>
      </c>
    </row>
    <row r="126" spans="1:3" x14ac:dyDescent="0.25">
      <c r="A126" s="10" t="s">
        <v>408</v>
      </c>
      <c r="B126" s="10" t="s">
        <v>408</v>
      </c>
      <c r="C126" s="9" t="s">
        <v>409</v>
      </c>
    </row>
    <row r="127" spans="1:3" x14ac:dyDescent="0.25">
      <c r="A127" s="10" t="s">
        <v>549</v>
      </c>
      <c r="B127" s="10" t="s">
        <v>549</v>
      </c>
      <c r="C127" s="9" t="s">
        <v>550</v>
      </c>
    </row>
    <row r="128" spans="1:3" x14ac:dyDescent="0.25">
      <c r="A128" s="10" t="s">
        <v>420</v>
      </c>
      <c r="B128" s="10" t="s">
        <v>420</v>
      </c>
      <c r="C128" s="9" t="s">
        <v>421</v>
      </c>
    </row>
    <row r="129" spans="1:3" x14ac:dyDescent="0.25">
      <c r="A129" s="10" t="s">
        <v>424</v>
      </c>
      <c r="B129" s="10" t="s">
        <v>424</v>
      </c>
      <c r="C129" s="9" t="s">
        <v>425</v>
      </c>
    </row>
    <row r="130" spans="1:3" x14ac:dyDescent="0.25">
      <c r="A130" s="10" t="s">
        <v>426</v>
      </c>
      <c r="B130" s="10" t="s">
        <v>426</v>
      </c>
      <c r="C130" s="9" t="s">
        <v>427</v>
      </c>
    </row>
    <row r="131" spans="1:3" x14ac:dyDescent="0.25">
      <c r="A131" s="10" t="s">
        <v>551</v>
      </c>
      <c r="B131" s="10" t="s">
        <v>551</v>
      </c>
      <c r="C131" s="9" t="s">
        <v>552</v>
      </c>
    </row>
    <row r="132" spans="1:3" x14ac:dyDescent="0.25">
      <c r="A132" s="10" t="s">
        <v>553</v>
      </c>
      <c r="B132" s="10" t="s">
        <v>553</v>
      </c>
      <c r="C132" s="9" t="s">
        <v>554</v>
      </c>
    </row>
    <row r="133" spans="1:3" x14ac:dyDescent="0.25">
      <c r="A133" s="10" t="s">
        <v>434</v>
      </c>
      <c r="B133" s="10" t="s">
        <v>434</v>
      </c>
      <c r="C133" s="9" t="s">
        <v>435</v>
      </c>
    </row>
    <row r="134" spans="1:3" x14ac:dyDescent="0.25">
      <c r="A134" s="10" t="s">
        <v>436</v>
      </c>
      <c r="B134" s="10" t="s">
        <v>436</v>
      </c>
      <c r="C134" s="9" t="s">
        <v>437</v>
      </c>
    </row>
    <row r="135" spans="1:3" x14ac:dyDescent="0.25">
      <c r="A135" s="10" t="s">
        <v>438</v>
      </c>
      <c r="B135" s="10" t="s">
        <v>438</v>
      </c>
      <c r="C135" s="9" t="s">
        <v>439</v>
      </c>
    </row>
    <row r="136" spans="1:3" x14ac:dyDescent="0.25">
      <c r="A136" s="10" t="s">
        <v>555</v>
      </c>
      <c r="B136" s="10" t="s">
        <v>555</v>
      </c>
      <c r="C136" s="9" t="s">
        <v>556</v>
      </c>
    </row>
    <row r="137" spans="1:3" x14ac:dyDescent="0.25">
      <c r="A137" s="10" t="s">
        <v>440</v>
      </c>
      <c r="B137" s="10" t="s">
        <v>440</v>
      </c>
      <c r="C137" s="9" t="s">
        <v>441</v>
      </c>
    </row>
    <row r="138" spans="1:3" x14ac:dyDescent="0.25">
      <c r="A138" s="10" t="s">
        <v>446</v>
      </c>
      <c r="B138" s="10" t="s">
        <v>446</v>
      </c>
      <c r="C138" s="9" t="s">
        <v>447</v>
      </c>
    </row>
    <row r="139" spans="1:3" x14ac:dyDescent="0.25">
      <c r="A139" s="10" t="s">
        <v>450</v>
      </c>
      <c r="B139" s="10" t="s">
        <v>450</v>
      </c>
      <c r="C139" s="9" t="s">
        <v>451</v>
      </c>
    </row>
    <row r="140" spans="1:3" x14ac:dyDescent="0.25">
      <c r="A140" s="10" t="s">
        <v>454</v>
      </c>
      <c r="B140" s="10" t="s">
        <v>454</v>
      </c>
      <c r="C140" s="9" t="s">
        <v>455</v>
      </c>
    </row>
    <row r="141" spans="1:3" x14ac:dyDescent="0.25">
      <c r="A141" s="10" t="s">
        <v>460</v>
      </c>
      <c r="B141" s="10" t="s">
        <v>460</v>
      </c>
      <c r="C141" s="9" t="s">
        <v>461</v>
      </c>
    </row>
    <row r="142" spans="1:3" x14ac:dyDescent="0.25">
      <c r="A142" s="10" t="s">
        <v>462</v>
      </c>
      <c r="B142" s="10" t="s">
        <v>462</v>
      </c>
      <c r="C142" s="9" t="s">
        <v>463</v>
      </c>
    </row>
    <row r="143" spans="1:3" x14ac:dyDescent="0.25">
      <c r="A143" s="10" t="s">
        <v>466</v>
      </c>
      <c r="B143" s="10" t="s">
        <v>466</v>
      </c>
      <c r="C143" s="9" t="s">
        <v>467</v>
      </c>
    </row>
    <row r="144" spans="1:3" x14ac:dyDescent="0.25">
      <c r="A144" s="10" t="s">
        <v>474</v>
      </c>
      <c r="B144" s="10" t="s">
        <v>474</v>
      </c>
      <c r="C144" s="9" t="s">
        <v>475</v>
      </c>
    </row>
    <row r="145" spans="1:3" x14ac:dyDescent="0.25">
      <c r="A145" s="10" t="s">
        <v>482</v>
      </c>
      <c r="B145" s="10" t="s">
        <v>482</v>
      </c>
      <c r="C145" s="9" t="s">
        <v>483</v>
      </c>
    </row>
    <row r="146" spans="1:3" x14ac:dyDescent="0.25">
      <c r="A146" s="10" t="s">
        <v>484</v>
      </c>
      <c r="B146" s="10" t="s">
        <v>484</v>
      </c>
      <c r="C146" s="9" t="s">
        <v>485</v>
      </c>
    </row>
    <row r="147" spans="1:3" x14ac:dyDescent="0.25">
      <c r="A147" s="10" t="s">
        <v>486</v>
      </c>
      <c r="B147" s="10" t="s">
        <v>486</v>
      </c>
      <c r="C147" s="9" t="s">
        <v>487</v>
      </c>
    </row>
    <row r="148" spans="1:3" x14ac:dyDescent="0.25">
      <c r="A148" s="10" t="s">
        <v>488</v>
      </c>
      <c r="B148" s="10" t="s">
        <v>488</v>
      </c>
      <c r="C148" s="9" t="s">
        <v>489</v>
      </c>
    </row>
    <row r="149" spans="1:3" x14ac:dyDescent="0.25">
      <c r="A149" s="10" t="s">
        <v>490</v>
      </c>
      <c r="B149" s="10" t="s">
        <v>490</v>
      </c>
      <c r="C149" s="9" t="s">
        <v>491</v>
      </c>
    </row>
    <row r="150" spans="1:3" x14ac:dyDescent="0.25">
      <c r="A150" s="10" t="s">
        <v>494</v>
      </c>
      <c r="B150" s="10" t="s">
        <v>494</v>
      </c>
      <c r="C150" s="9" t="s">
        <v>495</v>
      </c>
    </row>
    <row r="151" spans="1:3" x14ac:dyDescent="0.25">
      <c r="A151" s="10" t="s">
        <v>500</v>
      </c>
      <c r="B151" s="10" t="s">
        <v>500</v>
      </c>
      <c r="C151" s="9" t="s">
        <v>501</v>
      </c>
    </row>
    <row r="152" spans="1:3" x14ac:dyDescent="0.25">
      <c r="A152" s="10" t="s">
        <v>502</v>
      </c>
      <c r="B152" s="10" t="s">
        <v>502</v>
      </c>
      <c r="C152" s="9" t="s">
        <v>503</v>
      </c>
    </row>
    <row r="153" spans="1:3" x14ac:dyDescent="0.25">
      <c r="A153" s="10" t="s">
        <v>557</v>
      </c>
      <c r="B153" s="10" t="s">
        <v>557</v>
      </c>
      <c r="C153" s="9" t="s">
        <v>558</v>
      </c>
    </row>
    <row r="154" spans="1:3" x14ac:dyDescent="0.25">
      <c r="A154" s="10" t="s">
        <v>506</v>
      </c>
      <c r="B154" s="10" t="s">
        <v>506</v>
      </c>
      <c r="C154" s="9" t="s">
        <v>507</v>
      </c>
    </row>
    <row r="155" spans="1:3" x14ac:dyDescent="0.25">
      <c r="A155" s="10" t="s">
        <v>559</v>
      </c>
      <c r="B155" s="10" t="s">
        <v>559</v>
      </c>
      <c r="C155" s="9" t="s">
        <v>560</v>
      </c>
    </row>
    <row r="156" spans="1:3" x14ac:dyDescent="0.25">
      <c r="A156" s="10" t="s">
        <v>510</v>
      </c>
      <c r="B156" s="10" t="s">
        <v>510</v>
      </c>
      <c r="C156" s="9" t="s">
        <v>511</v>
      </c>
    </row>
    <row r="157" spans="1:3" x14ac:dyDescent="0.25">
      <c r="A157" s="10" t="s">
        <v>512</v>
      </c>
      <c r="B157" s="10" t="s">
        <v>512</v>
      </c>
      <c r="C157" s="9" t="s">
        <v>513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3"/>
  <dimension ref="A1:N215"/>
  <sheetViews>
    <sheetView tabSelected="1"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</row>
    <row r="5" spans="1:14" x14ac:dyDescent="0.25">
      <c r="A5" s="10" t="s">
        <v>92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</row>
    <row r="6" spans="1:14" x14ac:dyDescent="0.25">
      <c r="A6" s="10" t="s">
        <v>94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</row>
    <row r="7" spans="1:14" x14ac:dyDescent="0.25">
      <c r="A7" s="10" t="s">
        <v>96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</row>
    <row r="8" spans="1:14" x14ac:dyDescent="0.25">
      <c r="A8" s="10" t="s">
        <v>98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</row>
    <row r="9" spans="1:14" x14ac:dyDescent="0.25">
      <c r="A9" s="10" t="s">
        <v>100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10" t="s">
        <v>110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10" t="s">
        <v>112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</row>
    <row r="16" spans="1:14" x14ac:dyDescent="0.25">
      <c r="A16" s="10" t="s">
        <v>114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</row>
    <row r="17" spans="1:14" x14ac:dyDescent="0.25">
      <c r="A17" s="10" t="s">
        <v>116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</row>
    <row r="18" spans="1:14" x14ac:dyDescent="0.25">
      <c r="A18" s="10" t="s">
        <v>118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</row>
    <row r="20" spans="1:14" x14ac:dyDescent="0.25">
      <c r="A20" s="10" t="s">
        <v>122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</row>
    <row r="21" spans="1:14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</row>
    <row r="22" spans="1:14" x14ac:dyDescent="0.25">
      <c r="A22" s="10" t="s">
        <v>126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</row>
    <row r="23" spans="1:14" x14ac:dyDescent="0.25">
      <c r="A23" s="10" t="s">
        <v>128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</row>
    <row r="24" spans="1:14" x14ac:dyDescent="0.25">
      <c r="A24" s="10" t="s">
        <v>130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</row>
    <row r="25" spans="1:14" x14ac:dyDescent="0.25">
      <c r="A25" s="10" t="s">
        <v>132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</row>
    <row r="26" spans="1:14" x14ac:dyDescent="0.25">
      <c r="A26" s="10" t="s">
        <v>134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</row>
    <row r="27" spans="1:14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</row>
    <row r="28" spans="1:14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</row>
    <row r="29" spans="1:14" x14ac:dyDescent="0.25">
      <c r="A29" s="10" t="s">
        <v>140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</row>
    <row r="30" spans="1:14" x14ac:dyDescent="0.25">
      <c r="A30" s="10" t="s">
        <v>142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</row>
    <row r="31" spans="1:14" x14ac:dyDescent="0.25">
      <c r="A31" s="10" t="s">
        <v>144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</row>
    <row r="32" spans="1:14" x14ac:dyDescent="0.25">
      <c r="A32" s="10" t="s">
        <v>146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</row>
    <row r="33" spans="1:14" x14ac:dyDescent="0.25">
      <c r="A33" s="10" t="s">
        <v>148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</row>
    <row r="34" spans="1:14" x14ac:dyDescent="0.25">
      <c r="A34" s="10" t="s">
        <v>150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</row>
    <row r="35" spans="1:14" x14ac:dyDescent="0.25">
      <c r="A35" s="10" t="s">
        <v>152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</row>
    <row r="36" spans="1:14" x14ac:dyDescent="0.25">
      <c r="A36" s="10" t="s">
        <v>154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</row>
    <row r="37" spans="1:14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</row>
    <row r="38" spans="1:14" x14ac:dyDescent="0.25">
      <c r="A38" s="10" t="s">
        <v>158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</row>
    <row r="39" spans="1:14" x14ac:dyDescent="0.25">
      <c r="A39" s="10" t="s">
        <v>160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</row>
    <row r="40" spans="1:14" x14ac:dyDescent="0.25">
      <c r="A40" s="10" t="s">
        <v>162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</row>
    <row r="41" spans="1:14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</row>
    <row r="42" spans="1:14" x14ac:dyDescent="0.25">
      <c r="A42" s="10" t="s">
        <v>166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</row>
    <row r="43" spans="1:14" x14ac:dyDescent="0.25">
      <c r="A43" s="10" t="s">
        <v>168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</row>
    <row r="44" spans="1:14" x14ac:dyDescent="0.25">
      <c r="A44" s="10" t="s">
        <v>170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</row>
    <row r="45" spans="1:14" x14ac:dyDescent="0.25">
      <c r="A45" s="10" t="s">
        <v>172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</row>
    <row r="46" spans="1:14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</row>
    <row r="47" spans="1:14" x14ac:dyDescent="0.25">
      <c r="A47" s="10" t="s">
        <v>176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</row>
    <row r="48" spans="1:14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</row>
    <row r="49" spans="1:14" x14ac:dyDescent="0.25">
      <c r="A49" s="10" t="s">
        <v>180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</row>
    <row r="50" spans="1:14" x14ac:dyDescent="0.25">
      <c r="A50" s="10" t="s">
        <v>182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</row>
    <row r="51" spans="1:14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</row>
    <row r="52" spans="1:14" x14ac:dyDescent="0.25">
      <c r="A52" s="10" t="s">
        <v>186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</row>
    <row r="53" spans="1:14" x14ac:dyDescent="0.25">
      <c r="A53" s="10" t="s">
        <v>188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</row>
    <row r="54" spans="1:14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</row>
    <row r="55" spans="1:14" x14ac:dyDescent="0.25">
      <c r="A55" s="10" t="s">
        <v>192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</row>
    <row r="56" spans="1:14" x14ac:dyDescent="0.25">
      <c r="A56" s="10" t="s">
        <v>194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</row>
    <row r="57" spans="1:14" x14ac:dyDescent="0.25">
      <c r="A57" s="10" t="s">
        <v>196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</row>
    <row r="58" spans="1:14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</row>
    <row r="59" spans="1:14" x14ac:dyDescent="0.25">
      <c r="A59" s="10" t="s">
        <v>200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</row>
    <row r="60" spans="1:14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</row>
    <row r="61" spans="1:14" x14ac:dyDescent="0.25">
      <c r="A61" s="10" t="s">
        <v>204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</row>
    <row r="62" spans="1:14" x14ac:dyDescent="0.25">
      <c r="A62" s="10" t="s">
        <v>206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</row>
    <row r="63" spans="1:14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5">
      <c r="A65" s="10" t="s">
        <v>212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5">
      <c r="A66" s="10" t="s">
        <v>214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5">
      <c r="A67" s="10" t="s">
        <v>216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5">
      <c r="A70" s="10" t="s">
        <v>222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5">
      <c r="A72" s="10" t="s">
        <v>226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</row>
    <row r="75" spans="1:14" x14ac:dyDescent="0.25">
      <c r="A75" s="10" t="s">
        <v>232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>
        <v>0</v>
      </c>
    </row>
    <row r="76" spans="1:14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5">
      <c r="A77" s="10" t="s">
        <v>236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</row>
    <row r="78" spans="1:14" x14ac:dyDescent="0.25">
      <c r="A78" s="10" t="s">
        <v>238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</row>
    <row r="79" spans="1:14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</row>
    <row r="80" spans="1:14" x14ac:dyDescent="0.25">
      <c r="A80" s="10" t="s">
        <v>242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</row>
    <row r="81" spans="1:14" x14ac:dyDescent="0.25">
      <c r="A81" s="10" t="s">
        <v>244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</row>
    <row r="82" spans="1:14" x14ac:dyDescent="0.25">
      <c r="A82" s="10" t="s">
        <v>246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</row>
    <row r="83" spans="1:14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>
        <v>0</v>
      </c>
    </row>
    <row r="84" spans="1:14" x14ac:dyDescent="0.25">
      <c r="A84" s="10" t="s">
        <v>250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</row>
    <row r="85" spans="1:14" x14ac:dyDescent="0.25">
      <c r="A85" s="10" t="s">
        <v>252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</row>
    <row r="86" spans="1:14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5">
      <c r="A87" s="10" t="s">
        <v>256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  <c r="N87" s="15">
        <v>0</v>
      </c>
    </row>
    <row r="88" spans="1:14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</row>
    <row r="89" spans="1:14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>
        <v>0</v>
      </c>
    </row>
    <row r="90" spans="1:14" x14ac:dyDescent="0.25">
      <c r="A90" s="10" t="s">
        <v>262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</row>
    <row r="91" spans="1:14" x14ac:dyDescent="0.25">
      <c r="A91" s="10" t="s">
        <v>264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  <c r="N91" s="15">
        <v>0</v>
      </c>
    </row>
    <row r="92" spans="1:14" x14ac:dyDescent="0.25">
      <c r="A92" s="10" t="s">
        <v>266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</row>
    <row r="93" spans="1:14" x14ac:dyDescent="0.25">
      <c r="A93" s="10" t="s">
        <v>268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</row>
    <row r="94" spans="1:14" x14ac:dyDescent="0.25">
      <c r="A94" s="10" t="s">
        <v>270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</row>
    <row r="95" spans="1:14" x14ac:dyDescent="0.25">
      <c r="A95" s="10" t="s">
        <v>272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0</v>
      </c>
    </row>
    <row r="96" spans="1:14" x14ac:dyDescent="0.25">
      <c r="A96" s="10" t="s">
        <v>274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</row>
    <row r="97" spans="1:14" x14ac:dyDescent="0.25">
      <c r="A97" s="10" t="s">
        <v>276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</row>
    <row r="98" spans="1:14" x14ac:dyDescent="0.25">
      <c r="A98" s="10" t="s">
        <v>278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</row>
    <row r="99" spans="1:14" x14ac:dyDescent="0.25">
      <c r="A99" s="10" t="s">
        <v>280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>
        <v>0</v>
      </c>
    </row>
    <row r="100" spans="1:14" x14ac:dyDescent="0.25">
      <c r="A100" s="10" t="s">
        <v>282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</row>
    <row r="101" spans="1:14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</row>
    <row r="102" spans="1:14" x14ac:dyDescent="0.25">
      <c r="A102" s="10" t="s">
        <v>286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</row>
    <row r="103" spans="1:14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</row>
    <row r="104" spans="1:14" x14ac:dyDescent="0.25">
      <c r="A104" s="10" t="s">
        <v>290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</row>
    <row r="105" spans="1:14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</row>
    <row r="106" spans="1:14" x14ac:dyDescent="0.25">
      <c r="A106" s="10" t="s">
        <v>294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</row>
    <row r="107" spans="1:14" x14ac:dyDescent="0.25">
      <c r="A107" s="10" t="s">
        <v>296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</row>
    <row r="108" spans="1:14" x14ac:dyDescent="0.25">
      <c r="A108" s="10" t="s">
        <v>298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</row>
    <row r="109" spans="1:14" x14ac:dyDescent="0.25">
      <c r="A109" s="10" t="s">
        <v>300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</row>
    <row r="110" spans="1:14" x14ac:dyDescent="0.25">
      <c r="A110" s="10" t="s">
        <v>302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</row>
    <row r="111" spans="1:14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</row>
    <row r="112" spans="1:14" x14ac:dyDescent="0.25">
      <c r="A112" s="10" t="s">
        <v>306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</row>
    <row r="113" spans="1:14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</row>
    <row r="114" spans="1:14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</row>
    <row r="115" spans="1:14" x14ac:dyDescent="0.25">
      <c r="A115" s="10" t="s">
        <v>312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</row>
    <row r="116" spans="1:14" x14ac:dyDescent="0.25">
      <c r="A116" s="10" t="s">
        <v>314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</row>
    <row r="117" spans="1:14" x14ac:dyDescent="0.25">
      <c r="A117" s="10" t="s">
        <v>316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</row>
    <row r="118" spans="1:14" x14ac:dyDescent="0.25">
      <c r="A118" s="10" t="s">
        <v>318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</row>
    <row r="119" spans="1:14" x14ac:dyDescent="0.25">
      <c r="A119" s="10" t="s">
        <v>320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</row>
    <row r="120" spans="1:14" x14ac:dyDescent="0.25">
      <c r="A120" s="10" t="s">
        <v>322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</row>
    <row r="121" spans="1:14" x14ac:dyDescent="0.25">
      <c r="A121" s="10" t="s">
        <v>324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>
        <v>0</v>
      </c>
    </row>
    <row r="122" spans="1:14" x14ac:dyDescent="0.25">
      <c r="A122" s="10" t="s">
        <v>326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</row>
    <row r="123" spans="1:14" x14ac:dyDescent="0.25">
      <c r="A123" s="10" t="s">
        <v>328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</row>
    <row r="124" spans="1:14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</row>
    <row r="125" spans="1:14" x14ac:dyDescent="0.25">
      <c r="A125" s="10" t="s">
        <v>332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5">
      <c r="A126" s="10" t="s">
        <v>334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</row>
    <row r="127" spans="1:14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</row>
    <row r="128" spans="1:14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</row>
    <row r="129" spans="1:14" x14ac:dyDescent="0.25">
      <c r="A129" s="10" t="s">
        <v>340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</row>
    <row r="130" spans="1:14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</row>
    <row r="131" spans="1:14" x14ac:dyDescent="0.25">
      <c r="A131" s="10" t="s">
        <v>344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</row>
    <row r="132" spans="1:14" x14ac:dyDescent="0.25">
      <c r="A132" s="10" t="s">
        <v>346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</row>
    <row r="133" spans="1:14" x14ac:dyDescent="0.25">
      <c r="A133" s="10" t="s">
        <v>348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  <c r="N133" s="15">
        <v>0</v>
      </c>
    </row>
    <row r="134" spans="1:14" x14ac:dyDescent="0.25">
      <c r="A134" s="10" t="s">
        <v>350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</row>
    <row r="135" spans="1:14" x14ac:dyDescent="0.25">
      <c r="A135" s="10" t="s">
        <v>352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5">
        <v>0</v>
      </c>
    </row>
    <row r="136" spans="1:14" x14ac:dyDescent="0.25">
      <c r="A136" s="10" t="s">
        <v>354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</row>
    <row r="137" spans="1:14" x14ac:dyDescent="0.25">
      <c r="A137" s="10" t="s">
        <v>356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  <c r="N137" s="15">
        <v>0</v>
      </c>
    </row>
    <row r="138" spans="1:14" x14ac:dyDescent="0.25">
      <c r="A138" s="10" t="s">
        <v>358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</row>
    <row r="139" spans="1:14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>
        <v>0</v>
      </c>
    </row>
    <row r="140" spans="1:14" x14ac:dyDescent="0.25">
      <c r="A140" s="10" t="s">
        <v>362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</row>
    <row r="141" spans="1:14" x14ac:dyDescent="0.25">
      <c r="A141" s="10" t="s">
        <v>364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>
        <v>0</v>
      </c>
    </row>
    <row r="142" spans="1:14" x14ac:dyDescent="0.25">
      <c r="A142" s="10" t="s">
        <v>366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</row>
    <row r="143" spans="1:14" x14ac:dyDescent="0.25">
      <c r="A143" s="10" t="s">
        <v>368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</row>
    <row r="144" spans="1:14" x14ac:dyDescent="0.25">
      <c r="A144" s="10" t="s">
        <v>370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</row>
    <row r="145" spans="1:14" x14ac:dyDescent="0.25">
      <c r="A145" s="10" t="s">
        <v>372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>
        <v>0</v>
      </c>
    </row>
    <row r="146" spans="1:14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</row>
    <row r="147" spans="1:14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  <c r="N147" s="15">
        <v>0</v>
      </c>
    </row>
    <row r="148" spans="1:14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</row>
    <row r="149" spans="1:14" x14ac:dyDescent="0.25">
      <c r="A149" s="10" t="s">
        <v>380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</row>
    <row r="150" spans="1:14" x14ac:dyDescent="0.25">
      <c r="A150" s="10" t="s">
        <v>382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</row>
    <row r="151" spans="1:14" x14ac:dyDescent="0.25">
      <c r="A151" s="10" t="s">
        <v>384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</row>
    <row r="152" spans="1:14" x14ac:dyDescent="0.25">
      <c r="A152" s="10" t="s">
        <v>386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</row>
    <row r="153" spans="1:14" x14ac:dyDescent="0.25">
      <c r="A153" s="10" t="s">
        <v>388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  <c r="N153" s="15">
        <v>0</v>
      </c>
    </row>
    <row r="154" spans="1:14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</row>
    <row r="155" spans="1:14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  <c r="N155" s="15">
        <v>0</v>
      </c>
    </row>
    <row r="156" spans="1:14" x14ac:dyDescent="0.25">
      <c r="A156" s="10" t="s">
        <v>394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</row>
    <row r="157" spans="1:14" x14ac:dyDescent="0.25">
      <c r="A157" s="10" t="s">
        <v>396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  <c r="N157" s="15">
        <v>0</v>
      </c>
    </row>
    <row r="158" spans="1:14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</row>
    <row r="159" spans="1:14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</row>
    <row r="160" spans="1:14" x14ac:dyDescent="0.25">
      <c r="A160" s="10" t="s">
        <v>402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</row>
    <row r="161" spans="1:14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</row>
    <row r="162" spans="1:14" x14ac:dyDescent="0.25">
      <c r="A162" s="10" t="s">
        <v>406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</row>
    <row r="163" spans="1:14" x14ac:dyDescent="0.25">
      <c r="A163" s="10" t="s">
        <v>408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</row>
    <row r="164" spans="1:14" x14ac:dyDescent="0.25">
      <c r="A164" s="10" t="s">
        <v>410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</row>
    <row r="165" spans="1:14" x14ac:dyDescent="0.25">
      <c r="A165" s="10" t="s">
        <v>412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  <c r="N165" s="15">
        <v>0</v>
      </c>
    </row>
    <row r="166" spans="1:14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</row>
    <row r="167" spans="1:14" x14ac:dyDescent="0.25">
      <c r="A167" s="10" t="s">
        <v>416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>
        <v>0</v>
      </c>
    </row>
    <row r="168" spans="1:14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</row>
    <row r="169" spans="1:14" x14ac:dyDescent="0.25">
      <c r="A169" s="10" t="s">
        <v>420</v>
      </c>
      <c r="B169" s="15">
        <v>0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  <c r="N169" s="15">
        <v>0</v>
      </c>
    </row>
    <row r="170" spans="1:14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</row>
    <row r="171" spans="1:14" x14ac:dyDescent="0.25">
      <c r="A171" s="10" t="s">
        <v>424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>
        <v>0</v>
      </c>
    </row>
    <row r="172" spans="1:14" x14ac:dyDescent="0.25">
      <c r="A172" s="10" t="s">
        <v>426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</row>
    <row r="173" spans="1:14" x14ac:dyDescent="0.25">
      <c r="A173" s="10" t="s">
        <v>428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  <c r="N173" s="15">
        <v>0</v>
      </c>
    </row>
    <row r="174" spans="1:14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</row>
    <row r="175" spans="1:14" x14ac:dyDescent="0.25">
      <c r="A175" s="10" t="s">
        <v>432</v>
      </c>
      <c r="B175" s="15">
        <v>0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</row>
    <row r="176" spans="1:14" x14ac:dyDescent="0.25">
      <c r="A176" s="10" t="s">
        <v>434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</row>
    <row r="177" spans="1:14" x14ac:dyDescent="0.25">
      <c r="A177" s="10" t="s">
        <v>436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  <c r="N177" s="15">
        <v>0</v>
      </c>
    </row>
    <row r="178" spans="1:14" x14ac:dyDescent="0.25">
      <c r="A178" s="10" t="s">
        <v>438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</row>
    <row r="179" spans="1:14" x14ac:dyDescent="0.25">
      <c r="A179" s="10" t="s">
        <v>440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  <c r="N179" s="15">
        <v>0</v>
      </c>
    </row>
    <row r="180" spans="1:14" x14ac:dyDescent="0.25">
      <c r="A180" s="10" t="s">
        <v>442</v>
      </c>
      <c r="B180" s="15">
        <v>0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</row>
    <row r="181" spans="1:14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  <c r="N181" s="15">
        <v>0</v>
      </c>
    </row>
    <row r="182" spans="1:14" x14ac:dyDescent="0.25">
      <c r="A182" s="10" t="s">
        <v>446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</row>
    <row r="183" spans="1:14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  <c r="N183" s="15">
        <v>0</v>
      </c>
    </row>
    <row r="184" spans="1:14" x14ac:dyDescent="0.25">
      <c r="A184" s="10" t="s">
        <v>450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</row>
    <row r="185" spans="1:14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</row>
    <row r="186" spans="1:14" x14ac:dyDescent="0.25">
      <c r="A186" s="10" t="s">
        <v>454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</row>
    <row r="187" spans="1:14" x14ac:dyDescent="0.25">
      <c r="A187" s="10" t="s">
        <v>456</v>
      </c>
      <c r="B187" s="15">
        <v>0</v>
      </c>
      <c r="C187" s="15">
        <v>0</v>
      </c>
      <c r="D187" s="15">
        <v>0</v>
      </c>
      <c r="E187" s="15">
        <v>0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  <c r="N187" s="15">
        <v>0</v>
      </c>
    </row>
    <row r="188" spans="1:14" x14ac:dyDescent="0.25">
      <c r="A188" s="10" t="s">
        <v>458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</row>
    <row r="189" spans="1:14" x14ac:dyDescent="0.25">
      <c r="A189" s="10" t="s">
        <v>460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  <c r="N189" s="15">
        <v>0</v>
      </c>
    </row>
    <row r="190" spans="1:14" x14ac:dyDescent="0.25">
      <c r="A190" s="10" t="s">
        <v>462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</row>
    <row r="191" spans="1:14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  <c r="N191" s="15">
        <v>0</v>
      </c>
    </row>
    <row r="192" spans="1:14" x14ac:dyDescent="0.25">
      <c r="A192" s="10" t="s">
        <v>466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</row>
    <row r="193" spans="1:14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>
        <v>0</v>
      </c>
    </row>
    <row r="194" spans="1:14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</row>
    <row r="195" spans="1:14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  <c r="N195" s="15">
        <v>0</v>
      </c>
    </row>
    <row r="196" spans="1:14" x14ac:dyDescent="0.25">
      <c r="A196" s="10" t="s">
        <v>474</v>
      </c>
      <c r="B196" s="15">
        <v>0</v>
      </c>
      <c r="C196" s="15">
        <v>0</v>
      </c>
      <c r="D196" s="15">
        <v>0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</row>
    <row r="197" spans="1:14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0</v>
      </c>
      <c r="N197" s="15">
        <v>0</v>
      </c>
    </row>
    <row r="198" spans="1:14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</row>
    <row r="199" spans="1:14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  <c r="N199" s="15">
        <v>0</v>
      </c>
    </row>
    <row r="200" spans="1:14" x14ac:dyDescent="0.25">
      <c r="A200" s="10" t="s">
        <v>482</v>
      </c>
      <c r="B200" s="15">
        <v>0</v>
      </c>
      <c r="C200" s="15">
        <v>0</v>
      </c>
      <c r="D200" s="15">
        <v>0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</row>
    <row r="201" spans="1:14" x14ac:dyDescent="0.25">
      <c r="A201" s="10" t="s">
        <v>484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  <c r="N201" s="15">
        <v>0</v>
      </c>
    </row>
    <row r="202" spans="1:14" x14ac:dyDescent="0.25">
      <c r="A202" s="10" t="s">
        <v>486</v>
      </c>
      <c r="B202" s="15">
        <v>0</v>
      </c>
      <c r="C202" s="15">
        <v>0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</row>
    <row r="203" spans="1:14" x14ac:dyDescent="0.25">
      <c r="A203" s="10" t="s">
        <v>488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0</v>
      </c>
    </row>
    <row r="204" spans="1:14" x14ac:dyDescent="0.25">
      <c r="A204" s="10" t="s">
        <v>490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</row>
    <row r="205" spans="1:14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  <c r="N205" s="15">
        <v>0</v>
      </c>
    </row>
    <row r="206" spans="1:14" x14ac:dyDescent="0.25">
      <c r="A206" s="10" t="s">
        <v>494</v>
      </c>
      <c r="B206" s="15">
        <v>0</v>
      </c>
      <c r="C206" s="15">
        <v>0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</row>
    <row r="207" spans="1:14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  <c r="N207" s="15">
        <v>0</v>
      </c>
    </row>
    <row r="208" spans="1:14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</row>
    <row r="209" spans="1:14" x14ac:dyDescent="0.25">
      <c r="A209" s="10" t="s">
        <v>500</v>
      </c>
      <c r="B209" s="15">
        <v>0</v>
      </c>
      <c r="C209" s="15">
        <v>0</v>
      </c>
      <c r="D209" s="15">
        <v>0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  <c r="N209" s="15">
        <v>0</v>
      </c>
    </row>
    <row r="210" spans="1:14" x14ac:dyDescent="0.25">
      <c r="A210" s="10" t="s">
        <v>502</v>
      </c>
      <c r="B210" s="15">
        <v>0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</row>
    <row r="211" spans="1:14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0</v>
      </c>
      <c r="J211" s="15">
        <v>0</v>
      </c>
      <c r="K211" s="15">
        <v>0</v>
      </c>
      <c r="L211" s="15">
        <v>0</v>
      </c>
      <c r="M211" s="15">
        <v>0</v>
      </c>
      <c r="N211" s="15">
        <v>0</v>
      </c>
    </row>
    <row r="212" spans="1:14" x14ac:dyDescent="0.25">
      <c r="A212" s="10" t="s">
        <v>506</v>
      </c>
      <c r="B212" s="15">
        <v>0</v>
      </c>
      <c r="C212" s="15">
        <v>0</v>
      </c>
      <c r="D212" s="15">
        <v>0</v>
      </c>
      <c r="E212" s="15">
        <v>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</row>
    <row r="213" spans="1:14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  <c r="N213" s="15">
        <v>0</v>
      </c>
    </row>
    <row r="214" spans="1:14" x14ac:dyDescent="0.25">
      <c r="A214" s="10" t="s">
        <v>510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</row>
    <row r="215" spans="1:14" x14ac:dyDescent="0.25">
      <c r="A215" s="10" t="s">
        <v>512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2"/>
  <dimension ref="A1:N215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12338,29</v>
      </c>
      <c r="C2" s="14" t="str">
        <f>CONCATENATE("FEVEREIRO",CHAR(10),"TOTAL: ",ROUND(SUM(C3:C1048576),2))</f>
        <v>FEVEREIRO
TOTAL: 12400,43</v>
      </c>
      <c r="D2" s="14" t="str">
        <f>CONCATENATE("MARÇO",CHAR(10),"TOTAL: ",ROUND(SUM(D3:D1048576),2))</f>
        <v>MARÇO
TOTAL: 8720,24</v>
      </c>
      <c r="E2" s="14" t="str">
        <f>CONCATENATE("ABRIL",CHAR(10),"TOTAL: ",ROUND(SUM(E3:E1048576),2))</f>
        <v>ABRIL
TOTAL: 12791,28</v>
      </c>
      <c r="F2" s="14" t="str">
        <f>CONCATENATE("MAIO",CHAR(10),"TOTAL: ",ROUND(SUM(F3:F1048576),2))</f>
        <v>MAIO
TOTAL: 28022,85</v>
      </c>
      <c r="G2" s="14" t="str">
        <f>CONCATENATE("JUNHO",CHAR(10),"TOTAL: ",ROUND(SUM(G3:G1048576),2))</f>
        <v>JUNHO
TOTAL: 30105,91</v>
      </c>
      <c r="H2" s="14" t="str">
        <f>CONCATENATE("JULHO",CHAR(10),"TOTAL: ",ROUND(SUM(H3:H1048576),2))</f>
        <v>JULHO
TOTAL: 25762,28</v>
      </c>
      <c r="I2" s="14" t="str">
        <f>CONCATENATE("AGOSTO",CHAR(10),"TOTAL: ",ROUND(SUM(I3:I1048576),2))</f>
        <v>AGOSTO
TOTAL: 20751,44</v>
      </c>
      <c r="J2" s="14" t="str">
        <f>CONCATENATE("SETEMBRO",CHAR(10),"TOTAL: ",ROUND(SUM(J3:J1048576),2))</f>
        <v>SETEMBRO
TOTAL: 15696,59</v>
      </c>
      <c r="K2" s="14" t="str">
        <f>CONCATENATE("OUTUBRO",CHAR(10),"TOTAL: ",ROUND(SUM(K3:K1048576),2))</f>
        <v>OUTUBRO
TOTAL: 22099,15</v>
      </c>
      <c r="L2" s="14" t="str">
        <f>CONCATENATE("NOVEMBRO",CHAR(10),"TOTAL: ",ROUND(SUM(L3:L1048576),2))</f>
        <v>NOVEMBRO
TOTAL: 19250,03</v>
      </c>
      <c r="M2" s="14" t="str">
        <f>CONCATENATE("DEZEMBRO",CHAR(10),"TOTAL: ",ROUND(SUM(M3:M1048576),2))</f>
        <v>DEZEMBRO
TOTAL: 40677,86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2364.89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3096.23</v>
      </c>
    </row>
    <row r="5" spans="1:14" x14ac:dyDescent="0.25">
      <c r="A5" s="10" t="s">
        <v>92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</row>
    <row r="6" spans="1:14" x14ac:dyDescent="0.25">
      <c r="A6" s="10" t="s">
        <v>94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</row>
    <row r="7" spans="1:14" x14ac:dyDescent="0.25">
      <c r="A7" s="10" t="s">
        <v>96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2345.39</v>
      </c>
    </row>
    <row r="8" spans="1:14" x14ac:dyDescent="0.25">
      <c r="A8" s="10" t="s">
        <v>98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</row>
    <row r="9" spans="1:14" x14ac:dyDescent="0.25">
      <c r="A9" s="10" t="s">
        <v>100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3263.85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3718.43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</row>
    <row r="14" spans="1:14" x14ac:dyDescent="0.25">
      <c r="A14" s="10" t="s">
        <v>110</v>
      </c>
      <c r="B14" s="15">
        <v>4495.8900000000003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</row>
    <row r="15" spans="1:14" x14ac:dyDescent="0.25">
      <c r="A15" s="10" t="s">
        <v>112</v>
      </c>
      <c r="B15" s="15">
        <v>3860.8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</row>
    <row r="16" spans="1:14" x14ac:dyDescent="0.25">
      <c r="A16" s="10" t="s">
        <v>114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25">
      <c r="A17" s="10" t="s">
        <v>116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</row>
    <row r="18" spans="1:13" x14ac:dyDescent="0.25">
      <c r="A18" s="10" t="s">
        <v>118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</row>
    <row r="19" spans="1:13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</row>
    <row r="20" spans="1:13" x14ac:dyDescent="0.25">
      <c r="A20" s="10" t="s">
        <v>122</v>
      </c>
      <c r="B20" s="15">
        <v>0</v>
      </c>
      <c r="C20" s="15">
        <v>4080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4525</v>
      </c>
      <c r="M20" s="15">
        <v>0</v>
      </c>
    </row>
    <row r="21" spans="1:13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</row>
    <row r="22" spans="1:13" x14ac:dyDescent="0.25">
      <c r="A22" s="10" t="s">
        <v>126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</row>
    <row r="23" spans="1:13" x14ac:dyDescent="0.25">
      <c r="A23" s="10" t="s">
        <v>128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</row>
    <row r="24" spans="1:13" x14ac:dyDescent="0.25">
      <c r="A24" s="10" t="s">
        <v>130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3577.47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</row>
    <row r="25" spans="1:13" x14ac:dyDescent="0.25">
      <c r="A25" s="10" t="s">
        <v>132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</row>
    <row r="26" spans="1:13" x14ac:dyDescent="0.25">
      <c r="A26" s="10" t="s">
        <v>134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1644.37</v>
      </c>
    </row>
    <row r="27" spans="1:13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</row>
    <row r="28" spans="1:13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</row>
    <row r="29" spans="1:13" x14ac:dyDescent="0.25">
      <c r="A29" s="10" t="s">
        <v>140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</row>
    <row r="30" spans="1:13" x14ac:dyDescent="0.25">
      <c r="A30" s="10" t="s">
        <v>142</v>
      </c>
      <c r="B30" s="15">
        <v>0</v>
      </c>
      <c r="C30" s="15">
        <v>0</v>
      </c>
      <c r="D30" s="15">
        <v>2444.44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</row>
    <row r="31" spans="1:13" x14ac:dyDescent="0.25">
      <c r="A31" s="10" t="s">
        <v>144</v>
      </c>
      <c r="B31" s="15">
        <v>302.13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</row>
    <row r="32" spans="1:13" x14ac:dyDescent="0.25">
      <c r="A32" s="10" t="s">
        <v>146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</row>
    <row r="33" spans="1:13" x14ac:dyDescent="0.25">
      <c r="A33" s="10" t="s">
        <v>148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1589.51</v>
      </c>
      <c r="H33" s="15">
        <v>0</v>
      </c>
      <c r="I33" s="15">
        <v>156.24</v>
      </c>
      <c r="J33" s="15">
        <v>0</v>
      </c>
      <c r="K33" s="15">
        <v>0</v>
      </c>
      <c r="L33" s="15">
        <v>0</v>
      </c>
      <c r="M33" s="15">
        <v>0</v>
      </c>
    </row>
    <row r="34" spans="1:13" x14ac:dyDescent="0.25">
      <c r="A34" s="10" t="s">
        <v>150</v>
      </c>
      <c r="B34" s="15">
        <v>0</v>
      </c>
      <c r="C34" s="15">
        <v>6222.23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</row>
    <row r="35" spans="1:13" x14ac:dyDescent="0.25">
      <c r="A35" s="10" t="s">
        <v>152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</row>
    <row r="36" spans="1:13" x14ac:dyDescent="0.25">
      <c r="A36" s="10" t="s">
        <v>154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8464.75</v>
      </c>
      <c r="I36" s="15">
        <v>0</v>
      </c>
      <c r="J36" s="15">
        <v>724.85</v>
      </c>
      <c r="K36" s="15">
        <v>0</v>
      </c>
      <c r="L36" s="15">
        <v>0</v>
      </c>
      <c r="M36" s="15">
        <v>0</v>
      </c>
    </row>
    <row r="37" spans="1:13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</row>
    <row r="38" spans="1:13" x14ac:dyDescent="0.25">
      <c r="A38" s="10" t="s">
        <v>158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</row>
    <row r="39" spans="1:13" x14ac:dyDescent="0.25">
      <c r="A39" s="10" t="s">
        <v>160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</row>
    <row r="40" spans="1:13" x14ac:dyDescent="0.25">
      <c r="A40" s="10" t="s">
        <v>162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</row>
    <row r="41" spans="1:13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</row>
    <row r="42" spans="1:13" x14ac:dyDescent="0.25">
      <c r="A42" s="10" t="s">
        <v>166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</row>
    <row r="43" spans="1:13" x14ac:dyDescent="0.25">
      <c r="A43" s="10" t="s">
        <v>168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5196.6899999999996</v>
      </c>
      <c r="H43" s="15">
        <v>0</v>
      </c>
      <c r="I43" s="15">
        <v>510.83</v>
      </c>
      <c r="J43" s="15">
        <v>0</v>
      </c>
      <c r="K43" s="15">
        <v>0</v>
      </c>
      <c r="L43" s="15">
        <v>0</v>
      </c>
      <c r="M43" s="15">
        <v>0</v>
      </c>
    </row>
    <row r="44" spans="1:13" x14ac:dyDescent="0.25">
      <c r="A44" s="10" t="s">
        <v>170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</row>
    <row r="45" spans="1:13" x14ac:dyDescent="0.25">
      <c r="A45" s="10" t="s">
        <v>172</v>
      </c>
      <c r="B45" s="15">
        <v>0</v>
      </c>
      <c r="C45" s="15">
        <v>0</v>
      </c>
      <c r="D45" s="15">
        <v>0</v>
      </c>
      <c r="E45" s="15">
        <v>2946.43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</row>
    <row r="46" spans="1:13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</row>
    <row r="47" spans="1:13" x14ac:dyDescent="0.25">
      <c r="A47" s="10" t="s">
        <v>176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1786.96</v>
      </c>
    </row>
    <row r="48" spans="1:13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</row>
    <row r="49" spans="1:13" x14ac:dyDescent="0.25">
      <c r="A49" s="10" t="s">
        <v>180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</row>
    <row r="50" spans="1:13" x14ac:dyDescent="0.25">
      <c r="A50" s="10" t="s">
        <v>182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1899.68</v>
      </c>
      <c r="K50" s="15">
        <v>0</v>
      </c>
      <c r="L50" s="15">
        <v>0</v>
      </c>
      <c r="M50" s="15">
        <v>0</v>
      </c>
    </row>
    <row r="51" spans="1:13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</row>
    <row r="52" spans="1:13" x14ac:dyDescent="0.25">
      <c r="A52" s="10" t="s">
        <v>186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</row>
    <row r="53" spans="1:13" x14ac:dyDescent="0.25">
      <c r="A53" s="10" t="s">
        <v>188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</row>
    <row r="54" spans="1:13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</row>
    <row r="55" spans="1:13" x14ac:dyDescent="0.25">
      <c r="A55" s="10" t="s">
        <v>192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1842.8</v>
      </c>
    </row>
    <row r="56" spans="1:13" x14ac:dyDescent="0.25">
      <c r="A56" s="10" t="s">
        <v>194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</row>
    <row r="57" spans="1:13" x14ac:dyDescent="0.25">
      <c r="A57" s="10" t="s">
        <v>196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2364.89</v>
      </c>
    </row>
    <row r="58" spans="1:13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</row>
    <row r="59" spans="1:13" x14ac:dyDescent="0.25">
      <c r="A59" s="10" t="s">
        <v>200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</row>
    <row r="60" spans="1:13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</row>
    <row r="61" spans="1:13" x14ac:dyDescent="0.25">
      <c r="A61" s="10" t="s">
        <v>204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</row>
    <row r="62" spans="1:13" x14ac:dyDescent="0.25">
      <c r="A62" s="10" t="s">
        <v>206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</row>
    <row r="63" spans="1:13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</row>
    <row r="64" spans="1:13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</row>
    <row r="65" spans="1:13" x14ac:dyDescent="0.25">
      <c r="A65" s="10" t="s">
        <v>212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</row>
    <row r="66" spans="1:13" x14ac:dyDescent="0.25">
      <c r="A66" s="10" t="s">
        <v>214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3534.19</v>
      </c>
      <c r="J66" s="15">
        <v>302.8</v>
      </c>
      <c r="K66" s="15">
        <v>0</v>
      </c>
      <c r="L66" s="15">
        <v>0</v>
      </c>
      <c r="M66" s="15">
        <v>0</v>
      </c>
    </row>
    <row r="67" spans="1:13" x14ac:dyDescent="0.25">
      <c r="A67" s="10" t="s">
        <v>216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</row>
    <row r="68" spans="1:13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</row>
    <row r="69" spans="1:13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</row>
    <row r="70" spans="1:13" x14ac:dyDescent="0.25">
      <c r="A70" s="10" t="s">
        <v>222</v>
      </c>
      <c r="B70" s="15">
        <v>0</v>
      </c>
      <c r="C70" s="15">
        <v>0</v>
      </c>
      <c r="D70" s="15">
        <v>0</v>
      </c>
      <c r="E70" s="15">
        <v>4221.91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</row>
    <row r="71" spans="1:13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</row>
    <row r="72" spans="1:13" x14ac:dyDescent="0.25">
      <c r="A72" s="10" t="s">
        <v>226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</row>
    <row r="73" spans="1:13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</row>
    <row r="74" spans="1:13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</row>
    <row r="75" spans="1:13" x14ac:dyDescent="0.25">
      <c r="A75" s="10" t="s">
        <v>232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</row>
    <row r="76" spans="1:13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</row>
    <row r="77" spans="1:13" x14ac:dyDescent="0.25">
      <c r="A77" s="10" t="s">
        <v>236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4666.67</v>
      </c>
      <c r="I77" s="15">
        <v>0</v>
      </c>
      <c r="J77" s="15">
        <v>399.46</v>
      </c>
      <c r="K77" s="15">
        <v>0</v>
      </c>
      <c r="L77" s="15">
        <v>0</v>
      </c>
      <c r="M77" s="15">
        <v>0</v>
      </c>
    </row>
    <row r="78" spans="1:13" x14ac:dyDescent="0.25">
      <c r="A78" s="10" t="s">
        <v>238</v>
      </c>
      <c r="B78" s="15">
        <v>0</v>
      </c>
      <c r="C78" s="15">
        <v>0</v>
      </c>
      <c r="D78" s="15">
        <v>0</v>
      </c>
      <c r="E78" s="15">
        <v>0</v>
      </c>
      <c r="F78" s="15">
        <v>7055.87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</row>
    <row r="79" spans="1:13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</row>
    <row r="80" spans="1:13" x14ac:dyDescent="0.25">
      <c r="A80" s="10" t="s">
        <v>242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3332.21</v>
      </c>
    </row>
    <row r="81" spans="1:13" x14ac:dyDescent="0.25">
      <c r="A81" s="10" t="s">
        <v>244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</row>
    <row r="82" spans="1:13" x14ac:dyDescent="0.25">
      <c r="A82" s="10" t="s">
        <v>246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</row>
    <row r="83" spans="1:13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</row>
    <row r="84" spans="1:13" x14ac:dyDescent="0.25">
      <c r="A84" s="10" t="s">
        <v>250</v>
      </c>
      <c r="B84" s="15">
        <v>0</v>
      </c>
      <c r="C84" s="15">
        <v>0</v>
      </c>
      <c r="D84" s="15">
        <v>0</v>
      </c>
      <c r="E84" s="15">
        <v>0</v>
      </c>
      <c r="F84" s="15">
        <v>14666.67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</row>
    <row r="85" spans="1:13" x14ac:dyDescent="0.25">
      <c r="A85" s="10" t="s">
        <v>252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</row>
    <row r="86" spans="1:13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</row>
    <row r="87" spans="1:13" x14ac:dyDescent="0.25">
      <c r="A87" s="10" t="s">
        <v>256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</row>
    <row r="88" spans="1:13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</row>
    <row r="89" spans="1:13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</row>
    <row r="90" spans="1:13" x14ac:dyDescent="0.25">
      <c r="A90" s="10" t="s">
        <v>262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8808.4699999999993</v>
      </c>
    </row>
    <row r="91" spans="1:13" x14ac:dyDescent="0.25">
      <c r="A91" s="10" t="s">
        <v>264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</row>
    <row r="92" spans="1:13" x14ac:dyDescent="0.25">
      <c r="A92" s="10" t="s">
        <v>266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</row>
    <row r="93" spans="1:13" x14ac:dyDescent="0.25">
      <c r="A93" s="10" t="s">
        <v>268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</row>
    <row r="94" spans="1:13" x14ac:dyDescent="0.25">
      <c r="A94" s="10" t="s">
        <v>270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3524.32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</row>
    <row r="95" spans="1:13" x14ac:dyDescent="0.25">
      <c r="A95" s="10" t="s">
        <v>272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</row>
    <row r="96" spans="1:13" x14ac:dyDescent="0.25">
      <c r="A96" s="10" t="s">
        <v>274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</row>
    <row r="97" spans="1:13" x14ac:dyDescent="0.25">
      <c r="A97" s="10" t="s">
        <v>276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</row>
    <row r="98" spans="1:13" x14ac:dyDescent="0.25">
      <c r="A98" s="10" t="s">
        <v>278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2370.9299999999998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</row>
    <row r="99" spans="1:13" x14ac:dyDescent="0.25">
      <c r="A99" s="10" t="s">
        <v>280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</row>
    <row r="100" spans="1:13" x14ac:dyDescent="0.25">
      <c r="A100" s="10" t="s">
        <v>282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4467.1099999999997</v>
      </c>
      <c r="I100" s="15">
        <v>0</v>
      </c>
      <c r="J100" s="15">
        <v>382.66</v>
      </c>
      <c r="K100" s="15">
        <v>0</v>
      </c>
      <c r="L100" s="15">
        <v>0</v>
      </c>
      <c r="M100" s="15">
        <v>0</v>
      </c>
    </row>
    <row r="101" spans="1:13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</row>
    <row r="102" spans="1:13" x14ac:dyDescent="0.25">
      <c r="A102" s="10" t="s">
        <v>286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</row>
    <row r="103" spans="1:13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</row>
    <row r="104" spans="1:13" x14ac:dyDescent="0.25">
      <c r="A104" s="10" t="s">
        <v>290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</row>
    <row r="105" spans="1:13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</row>
    <row r="106" spans="1:13" x14ac:dyDescent="0.25">
      <c r="A106" s="10" t="s">
        <v>294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</row>
    <row r="107" spans="1:13" x14ac:dyDescent="0.25">
      <c r="A107" s="10" t="s">
        <v>296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</row>
    <row r="108" spans="1:13" x14ac:dyDescent="0.25">
      <c r="A108" s="10" t="s">
        <v>298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</row>
    <row r="109" spans="1:13" x14ac:dyDescent="0.25">
      <c r="A109" s="10" t="s">
        <v>300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</row>
    <row r="110" spans="1:13" x14ac:dyDescent="0.25">
      <c r="A110" s="10" t="s">
        <v>302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</row>
    <row r="111" spans="1:13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</row>
    <row r="112" spans="1:13" x14ac:dyDescent="0.25">
      <c r="A112" s="10" t="s">
        <v>306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</row>
    <row r="113" spans="1:13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</row>
    <row r="114" spans="1:13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</row>
    <row r="115" spans="1:13" x14ac:dyDescent="0.25">
      <c r="A115" s="10" t="s">
        <v>312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</row>
    <row r="116" spans="1:13" x14ac:dyDescent="0.25">
      <c r="A116" s="10" t="s">
        <v>314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11112.19</v>
      </c>
      <c r="K116" s="15">
        <v>0</v>
      </c>
      <c r="L116" s="15">
        <v>0</v>
      </c>
      <c r="M116" s="15">
        <v>0</v>
      </c>
    </row>
    <row r="117" spans="1:13" x14ac:dyDescent="0.25">
      <c r="A117" s="10" t="s">
        <v>316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</row>
    <row r="118" spans="1:13" x14ac:dyDescent="0.25">
      <c r="A118" s="10" t="s">
        <v>318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3800.44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</row>
    <row r="119" spans="1:13" x14ac:dyDescent="0.25">
      <c r="A119" s="10" t="s">
        <v>320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</row>
    <row r="120" spans="1:13" x14ac:dyDescent="0.25">
      <c r="A120" s="10" t="s">
        <v>322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</row>
    <row r="121" spans="1:13" x14ac:dyDescent="0.25">
      <c r="A121" s="10" t="s">
        <v>324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</row>
    <row r="122" spans="1:13" x14ac:dyDescent="0.25">
      <c r="A122" s="10" t="s">
        <v>326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3024.61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</row>
    <row r="123" spans="1:13" x14ac:dyDescent="0.25">
      <c r="A123" s="10" t="s">
        <v>328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</row>
    <row r="124" spans="1:13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</row>
    <row r="125" spans="1:13" x14ac:dyDescent="0.25">
      <c r="A125" s="10" t="s">
        <v>332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8211.41</v>
      </c>
      <c r="J125" s="15">
        <v>703.75</v>
      </c>
      <c r="K125" s="15">
        <v>0</v>
      </c>
      <c r="L125" s="15">
        <v>0</v>
      </c>
      <c r="M125" s="15">
        <v>0</v>
      </c>
    </row>
    <row r="126" spans="1:13" x14ac:dyDescent="0.25">
      <c r="A126" s="10" t="s">
        <v>334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8202.31</v>
      </c>
      <c r="L126" s="15">
        <v>0</v>
      </c>
      <c r="M126" s="15">
        <v>0</v>
      </c>
    </row>
    <row r="127" spans="1:13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</row>
    <row r="128" spans="1:13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</row>
    <row r="129" spans="1:13" x14ac:dyDescent="0.25">
      <c r="A129" s="10" t="s">
        <v>340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10639.64</v>
      </c>
    </row>
    <row r="130" spans="1:13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</row>
    <row r="131" spans="1:13" x14ac:dyDescent="0.25">
      <c r="A131" s="10" t="s">
        <v>344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</row>
    <row r="132" spans="1:13" x14ac:dyDescent="0.25">
      <c r="A132" s="10" t="s">
        <v>346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</row>
    <row r="133" spans="1:13" x14ac:dyDescent="0.25">
      <c r="A133" s="10" t="s">
        <v>348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</row>
    <row r="134" spans="1:13" x14ac:dyDescent="0.25">
      <c r="A134" s="10" t="s">
        <v>350</v>
      </c>
      <c r="B134" s="15">
        <v>0</v>
      </c>
      <c r="C134" s="15">
        <v>2098.1999999999998</v>
      </c>
      <c r="D134" s="15">
        <v>419.64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</row>
    <row r="135" spans="1:13" x14ac:dyDescent="0.25">
      <c r="A135" s="10" t="s">
        <v>352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</row>
    <row r="136" spans="1:13" x14ac:dyDescent="0.25">
      <c r="A136" s="10" t="s">
        <v>354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6754.84</v>
      </c>
      <c r="L136" s="15">
        <v>0</v>
      </c>
      <c r="M136" s="15">
        <v>0</v>
      </c>
    </row>
    <row r="137" spans="1:13" x14ac:dyDescent="0.25">
      <c r="A137" s="10" t="s">
        <v>356</v>
      </c>
      <c r="B137" s="15">
        <v>0</v>
      </c>
      <c r="C137" s="15">
        <v>0</v>
      </c>
      <c r="D137" s="15">
        <v>0</v>
      </c>
      <c r="E137" s="15">
        <v>0</v>
      </c>
      <c r="F137" s="15">
        <v>6300.31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</row>
    <row r="138" spans="1:13" x14ac:dyDescent="0.25">
      <c r="A138" s="10" t="s">
        <v>358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</row>
    <row r="139" spans="1:13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</row>
    <row r="140" spans="1:13" x14ac:dyDescent="0.25">
      <c r="A140" s="10" t="s">
        <v>362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3366.67</v>
      </c>
      <c r="H140" s="15">
        <v>0</v>
      </c>
      <c r="I140" s="15">
        <v>294.33</v>
      </c>
      <c r="J140" s="15">
        <v>0</v>
      </c>
      <c r="K140" s="15">
        <v>0</v>
      </c>
      <c r="L140" s="15">
        <v>0</v>
      </c>
      <c r="M140" s="15">
        <v>0</v>
      </c>
    </row>
    <row r="141" spans="1:13" x14ac:dyDescent="0.25">
      <c r="A141" s="10" t="s">
        <v>364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</row>
    <row r="142" spans="1:13" x14ac:dyDescent="0.25">
      <c r="A142" s="10" t="s">
        <v>366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7142</v>
      </c>
      <c r="L142" s="15">
        <v>0</v>
      </c>
      <c r="M142" s="15">
        <v>0</v>
      </c>
    </row>
    <row r="143" spans="1:13" x14ac:dyDescent="0.25">
      <c r="A143" s="10" t="s">
        <v>368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2396.67</v>
      </c>
      <c r="M143" s="15">
        <v>0</v>
      </c>
    </row>
    <row r="144" spans="1:13" x14ac:dyDescent="0.25">
      <c r="A144" s="10" t="s">
        <v>370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2586.2800000000002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</row>
    <row r="145" spans="1:13" x14ac:dyDescent="0.25">
      <c r="A145" s="10" t="s">
        <v>372</v>
      </c>
      <c r="B145" s="15">
        <v>0</v>
      </c>
      <c r="C145" s="15">
        <v>0</v>
      </c>
      <c r="D145" s="15">
        <v>2137.73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</row>
    <row r="146" spans="1:13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</row>
    <row r="147" spans="1:13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</row>
    <row r="148" spans="1:13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</row>
    <row r="149" spans="1:13" x14ac:dyDescent="0.25">
      <c r="A149" s="10" t="s">
        <v>380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</row>
    <row r="150" spans="1:13" x14ac:dyDescent="0.25">
      <c r="A150" s="10" t="s">
        <v>382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</row>
    <row r="151" spans="1:13" x14ac:dyDescent="0.25">
      <c r="A151" s="10" t="s">
        <v>384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12328.36</v>
      </c>
      <c r="M151" s="15">
        <v>0</v>
      </c>
    </row>
    <row r="152" spans="1:13" x14ac:dyDescent="0.25">
      <c r="A152" s="10" t="s">
        <v>386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</row>
    <row r="153" spans="1:13" x14ac:dyDescent="0.25">
      <c r="A153" s="10" t="s">
        <v>388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</row>
    <row r="154" spans="1:13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</row>
    <row r="155" spans="1:13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</row>
    <row r="156" spans="1:13" x14ac:dyDescent="0.25">
      <c r="A156" s="10" t="s">
        <v>394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2452.0100000000002</v>
      </c>
    </row>
    <row r="157" spans="1:13" x14ac:dyDescent="0.25">
      <c r="A157" s="10" t="s">
        <v>396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</row>
    <row r="158" spans="1:13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</row>
    <row r="159" spans="1:13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</row>
    <row r="160" spans="1:13" x14ac:dyDescent="0.25">
      <c r="A160" s="10" t="s">
        <v>402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</row>
    <row r="161" spans="1:13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</row>
    <row r="162" spans="1:13" x14ac:dyDescent="0.25">
      <c r="A162" s="10" t="s">
        <v>406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</row>
    <row r="163" spans="1:13" x14ac:dyDescent="0.25">
      <c r="A163" s="10" t="s">
        <v>408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</row>
    <row r="164" spans="1:13" x14ac:dyDescent="0.25">
      <c r="A164" s="10" t="s">
        <v>410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</row>
    <row r="165" spans="1:13" x14ac:dyDescent="0.25">
      <c r="A165" s="10" t="s">
        <v>412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</row>
    <row r="166" spans="1:13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</row>
    <row r="167" spans="1:13" x14ac:dyDescent="0.25">
      <c r="A167" s="10" t="s">
        <v>416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</row>
    <row r="168" spans="1:13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</row>
    <row r="169" spans="1:13" x14ac:dyDescent="0.25">
      <c r="A169" s="10" t="s">
        <v>420</v>
      </c>
      <c r="B169" s="15">
        <v>3679.47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</row>
    <row r="170" spans="1:13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</row>
    <row r="171" spans="1:13" x14ac:dyDescent="0.25">
      <c r="A171" s="10" t="s">
        <v>424</v>
      </c>
      <c r="B171" s="15">
        <v>0</v>
      </c>
      <c r="C171" s="15">
        <v>0</v>
      </c>
      <c r="D171" s="15">
        <v>0</v>
      </c>
      <c r="E171" s="15">
        <v>3097.35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</row>
    <row r="172" spans="1:13" x14ac:dyDescent="0.25">
      <c r="A172" s="10" t="s">
        <v>426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</row>
    <row r="173" spans="1:13" x14ac:dyDescent="0.25">
      <c r="A173" s="10" t="s">
        <v>428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</row>
    <row r="174" spans="1:13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</row>
    <row r="175" spans="1:13" x14ac:dyDescent="0.25">
      <c r="A175" s="10" t="s">
        <v>432</v>
      </c>
      <c r="B175" s="15">
        <v>0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</row>
    <row r="176" spans="1:13" x14ac:dyDescent="0.25">
      <c r="A176" s="10" t="s">
        <v>434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</row>
    <row r="177" spans="1:13" x14ac:dyDescent="0.25">
      <c r="A177" s="10" t="s">
        <v>436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</row>
    <row r="178" spans="1:13" x14ac:dyDescent="0.25">
      <c r="A178" s="10" t="s">
        <v>438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</row>
    <row r="179" spans="1:13" x14ac:dyDescent="0.25">
      <c r="A179" s="10" t="s">
        <v>440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</row>
    <row r="180" spans="1:13" x14ac:dyDescent="0.25">
      <c r="A180" s="10" t="s">
        <v>442</v>
      </c>
      <c r="B180" s="15">
        <v>0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</row>
    <row r="181" spans="1:13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</row>
    <row r="182" spans="1:13" x14ac:dyDescent="0.25">
      <c r="A182" s="10" t="s">
        <v>446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</row>
    <row r="183" spans="1:13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</row>
    <row r="184" spans="1:13" x14ac:dyDescent="0.25">
      <c r="A184" s="10" t="s">
        <v>450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</row>
    <row r="185" spans="1:13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</row>
    <row r="186" spans="1:13" x14ac:dyDescent="0.25">
      <c r="A186" s="10" t="s">
        <v>454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</row>
    <row r="187" spans="1:13" x14ac:dyDescent="0.25">
      <c r="A187" s="10" t="s">
        <v>456</v>
      </c>
      <c r="B187" s="15">
        <v>0</v>
      </c>
      <c r="C187" s="15">
        <v>0</v>
      </c>
      <c r="D187" s="15">
        <v>0</v>
      </c>
      <c r="E187" s="15">
        <v>0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</row>
    <row r="188" spans="1:13" x14ac:dyDescent="0.25">
      <c r="A188" s="10" t="s">
        <v>458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</row>
    <row r="189" spans="1:13" x14ac:dyDescent="0.25">
      <c r="A189" s="10" t="s">
        <v>460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2000</v>
      </c>
      <c r="I189" s="15">
        <v>0</v>
      </c>
      <c r="J189" s="15">
        <v>171.2</v>
      </c>
      <c r="K189" s="15">
        <v>0</v>
      </c>
      <c r="L189" s="15">
        <v>0</v>
      </c>
      <c r="M189" s="15">
        <v>0</v>
      </c>
    </row>
    <row r="190" spans="1:13" x14ac:dyDescent="0.25">
      <c r="A190" s="10" t="s">
        <v>462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</row>
    <row r="191" spans="1:13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</row>
    <row r="192" spans="1:13" x14ac:dyDescent="0.25">
      <c r="A192" s="10" t="s">
        <v>466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</row>
    <row r="193" spans="1:13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</row>
    <row r="194" spans="1:13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</row>
    <row r="195" spans="1:13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</row>
    <row r="196" spans="1:13" x14ac:dyDescent="0.25">
      <c r="A196" s="10" t="s">
        <v>474</v>
      </c>
      <c r="B196" s="15">
        <v>0</v>
      </c>
      <c r="C196" s="15">
        <v>0</v>
      </c>
      <c r="D196" s="15">
        <v>0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</row>
    <row r="197" spans="1:13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0</v>
      </c>
    </row>
    <row r="198" spans="1:13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</row>
    <row r="199" spans="1:13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</row>
    <row r="200" spans="1:13" x14ac:dyDescent="0.25">
      <c r="A200" s="10" t="s">
        <v>482</v>
      </c>
      <c r="B200" s="15">
        <v>0</v>
      </c>
      <c r="C200" s="15">
        <v>0</v>
      </c>
      <c r="D200" s="15">
        <v>0</v>
      </c>
      <c r="E200" s="15">
        <v>0</v>
      </c>
      <c r="F200" s="15">
        <v>0</v>
      </c>
      <c r="G200" s="15">
        <v>3968.89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</row>
    <row r="201" spans="1:13" x14ac:dyDescent="0.25">
      <c r="A201" s="10" t="s">
        <v>484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</row>
    <row r="202" spans="1:13" x14ac:dyDescent="0.25">
      <c r="A202" s="10" t="s">
        <v>486</v>
      </c>
      <c r="B202" s="15">
        <v>0</v>
      </c>
      <c r="C202" s="15">
        <v>0</v>
      </c>
      <c r="D202" s="15">
        <v>0</v>
      </c>
      <c r="E202" s="15">
        <v>2525.59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</row>
    <row r="203" spans="1:13" x14ac:dyDescent="0.25">
      <c r="A203" s="10" t="s">
        <v>488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</row>
    <row r="204" spans="1:13" x14ac:dyDescent="0.25">
      <c r="A204" s="10" t="s">
        <v>490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</row>
    <row r="205" spans="1:13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</row>
    <row r="206" spans="1:13" x14ac:dyDescent="0.25">
      <c r="A206" s="10" t="s">
        <v>494</v>
      </c>
      <c r="B206" s="15">
        <v>0</v>
      </c>
      <c r="C206" s="15">
        <v>0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</row>
    <row r="207" spans="1:13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</row>
    <row r="208" spans="1:13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</row>
    <row r="209" spans="1:13" x14ac:dyDescent="0.25">
      <c r="A209" s="10" t="s">
        <v>500</v>
      </c>
      <c r="B209" s="15">
        <v>0</v>
      </c>
      <c r="C209" s="15">
        <v>0</v>
      </c>
      <c r="D209" s="15">
        <v>0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</row>
    <row r="210" spans="1:13" x14ac:dyDescent="0.25">
      <c r="A210" s="10" t="s">
        <v>502</v>
      </c>
      <c r="B210" s="15">
        <v>0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</row>
    <row r="211" spans="1:13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0</v>
      </c>
      <c r="J211" s="15">
        <v>0</v>
      </c>
      <c r="K211" s="15">
        <v>0</v>
      </c>
      <c r="L211" s="15">
        <v>0</v>
      </c>
      <c r="M211" s="15">
        <v>0</v>
      </c>
    </row>
    <row r="212" spans="1:13" x14ac:dyDescent="0.25">
      <c r="A212" s="10" t="s">
        <v>506</v>
      </c>
      <c r="B212" s="15">
        <v>0</v>
      </c>
      <c r="C212" s="15">
        <v>0</v>
      </c>
      <c r="D212" s="15">
        <v>0</v>
      </c>
      <c r="E212" s="15">
        <v>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</row>
    <row r="213" spans="1:13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</row>
    <row r="214" spans="1:13" x14ac:dyDescent="0.25">
      <c r="A214" s="10" t="s">
        <v>510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</row>
    <row r="215" spans="1:13" x14ac:dyDescent="0.25">
      <c r="A215" s="10" t="s">
        <v>512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8044.44</v>
      </c>
      <c r="J215" s="15">
        <v>0</v>
      </c>
      <c r="K215" s="15">
        <v>0</v>
      </c>
      <c r="L215" s="15">
        <v>0</v>
      </c>
      <c r="M215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1"/>
  <dimension ref="A1:N215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1022,23</v>
      </c>
      <c r="C2" s="14" t="str">
        <f>CONCATENATE("FEVEREIRO",CHAR(10),"TOTAL: ",ROUND(SUM(C3:C1048576),2))</f>
        <v>FEVEREIRO
TOTAL: 57075,18</v>
      </c>
      <c r="D2" s="14" t="str">
        <f>CONCATENATE("MARÇO",CHAR(10),"TOTAL: ",ROUND(SUM(D3:D1048576),2))</f>
        <v>MARÇO
TOTAL: 17494,21</v>
      </c>
      <c r="E2" s="14" t="str">
        <f>CONCATENATE("ABRIL",CHAR(10),"TOTAL: ",ROUND(SUM(E3:E1048576),2))</f>
        <v>ABRIL
TOTAL: 152871,93</v>
      </c>
      <c r="F2" s="14" t="str">
        <f>CONCATENATE("MAIO",CHAR(10),"TOTAL: ",ROUND(SUM(F3:F1048576),2))</f>
        <v>MAIO
TOTAL: 4918,18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14458,7</v>
      </c>
      <c r="I2" s="14" t="str">
        <f>CONCATENATE("AGOSTO",CHAR(10),"TOTAL: ",ROUND(SUM(I3:I1048576),2))</f>
        <v>AGOSTO
TOTAL: 9139,27</v>
      </c>
      <c r="J2" s="14" t="str">
        <f>CONCATENATE("SETEMBRO",CHAR(10),"TOTAL: ",ROUND(SUM(J3:J1048576),2))</f>
        <v>SETEMBRO
TOTAL: 16772,05</v>
      </c>
      <c r="K2" s="14" t="str">
        <f>CONCATENATE("OUTUBRO",CHAR(10),"TOTAL: ",ROUND(SUM(K3:K1048576),2))</f>
        <v>OUTUBRO
TOTAL: 12289,85</v>
      </c>
      <c r="L2" s="14" t="str">
        <f>CONCATENATE("NOVEMBRO",CHAR(10),"TOTAL: ",ROUND(SUM(L3:L1048576),2))</f>
        <v>NOVEMBRO
TOTAL: 76941,28</v>
      </c>
      <c r="M2" s="14" t="str">
        <f>CONCATENATE("DEZEMBRO",CHAR(10),"TOTAL: ",ROUND(SUM(M3:M1048576),2))</f>
        <v>DEZEMBRO
TOTAL: 74289,73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</row>
    <row r="5" spans="1:14" x14ac:dyDescent="0.25">
      <c r="A5" s="10" t="s">
        <v>92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</row>
    <row r="6" spans="1:14" x14ac:dyDescent="0.25">
      <c r="A6" s="10" t="s">
        <v>94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</row>
    <row r="7" spans="1:14" x14ac:dyDescent="0.25">
      <c r="A7" s="10" t="s">
        <v>96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</row>
    <row r="8" spans="1:14" x14ac:dyDescent="0.25">
      <c r="A8" s="10" t="s">
        <v>98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4609.17</v>
      </c>
      <c r="I8" s="15">
        <v>0</v>
      </c>
      <c r="J8" s="15">
        <v>453.05</v>
      </c>
      <c r="K8" s="15">
        <v>0</v>
      </c>
      <c r="L8" s="15">
        <v>0</v>
      </c>
      <c r="M8" s="15">
        <v>0</v>
      </c>
    </row>
    <row r="9" spans="1:14" x14ac:dyDescent="0.25">
      <c r="A9" s="10" t="s">
        <v>100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</row>
    <row r="14" spans="1:14" x14ac:dyDescent="0.25">
      <c r="A14" s="10" t="s">
        <v>110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</row>
    <row r="15" spans="1:14" x14ac:dyDescent="0.25">
      <c r="A15" s="10" t="s">
        <v>112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</row>
    <row r="16" spans="1:14" x14ac:dyDescent="0.25">
      <c r="A16" s="10" t="s">
        <v>114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25">
      <c r="A17" s="10" t="s">
        <v>116</v>
      </c>
      <c r="B17" s="15">
        <v>0</v>
      </c>
      <c r="C17" s="15">
        <v>0</v>
      </c>
      <c r="D17" s="15">
        <v>0</v>
      </c>
      <c r="E17" s="15">
        <v>0</v>
      </c>
      <c r="F17" s="15">
        <v>1130.3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</row>
    <row r="18" spans="1:13" x14ac:dyDescent="0.25">
      <c r="A18" s="10" t="s">
        <v>118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</row>
    <row r="19" spans="1:13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</row>
    <row r="20" spans="1:13" x14ac:dyDescent="0.25">
      <c r="A20" s="10" t="s">
        <v>122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</row>
    <row r="21" spans="1:13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</row>
    <row r="22" spans="1:13" x14ac:dyDescent="0.25">
      <c r="A22" s="10" t="s">
        <v>126</v>
      </c>
      <c r="B22" s="15">
        <v>0</v>
      </c>
      <c r="C22" s="15">
        <v>0</v>
      </c>
      <c r="D22" s="15">
        <v>5387.12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</row>
    <row r="23" spans="1:13" x14ac:dyDescent="0.25">
      <c r="A23" s="10" t="s">
        <v>128</v>
      </c>
      <c r="B23" s="15">
        <v>0</v>
      </c>
      <c r="C23" s="15">
        <v>0</v>
      </c>
      <c r="D23" s="15">
        <v>0</v>
      </c>
      <c r="E23" s="15">
        <v>0</v>
      </c>
      <c r="F23" s="15">
        <v>932.53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</row>
    <row r="24" spans="1:13" x14ac:dyDescent="0.25">
      <c r="A24" s="10" t="s">
        <v>130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</row>
    <row r="25" spans="1:13" x14ac:dyDescent="0.25">
      <c r="A25" s="10" t="s">
        <v>132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</row>
    <row r="26" spans="1:13" x14ac:dyDescent="0.25">
      <c r="A26" s="10" t="s">
        <v>134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</row>
    <row r="27" spans="1:13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</row>
    <row r="28" spans="1:13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</row>
    <row r="29" spans="1:13" x14ac:dyDescent="0.25">
      <c r="A29" s="10" t="s">
        <v>140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</row>
    <row r="30" spans="1:13" x14ac:dyDescent="0.25">
      <c r="A30" s="10" t="s">
        <v>142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</row>
    <row r="31" spans="1:13" x14ac:dyDescent="0.25">
      <c r="A31" s="10" t="s">
        <v>144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</row>
    <row r="32" spans="1:13" x14ac:dyDescent="0.25">
      <c r="A32" s="10" t="s">
        <v>146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</row>
    <row r="33" spans="1:13" x14ac:dyDescent="0.25">
      <c r="A33" s="10" t="s">
        <v>148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</row>
    <row r="34" spans="1:13" x14ac:dyDescent="0.25">
      <c r="A34" s="10" t="s">
        <v>150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</row>
    <row r="35" spans="1:13" x14ac:dyDescent="0.25">
      <c r="A35" s="10" t="s">
        <v>152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</row>
    <row r="36" spans="1:13" x14ac:dyDescent="0.25">
      <c r="A36" s="10" t="s">
        <v>154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</row>
    <row r="37" spans="1:13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</row>
    <row r="38" spans="1:13" x14ac:dyDescent="0.25">
      <c r="A38" s="10" t="s">
        <v>158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</row>
    <row r="39" spans="1:13" x14ac:dyDescent="0.25">
      <c r="A39" s="10" t="s">
        <v>160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</row>
    <row r="40" spans="1:13" x14ac:dyDescent="0.25">
      <c r="A40" s="10" t="s">
        <v>162</v>
      </c>
      <c r="B40" s="15">
        <v>0</v>
      </c>
      <c r="C40" s="15">
        <v>0</v>
      </c>
      <c r="D40" s="15">
        <v>0</v>
      </c>
      <c r="E40" s="15">
        <v>1666.67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</row>
    <row r="41" spans="1:13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</row>
    <row r="42" spans="1:13" x14ac:dyDescent="0.25">
      <c r="A42" s="10" t="s">
        <v>166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</row>
    <row r="43" spans="1:13" x14ac:dyDescent="0.25">
      <c r="A43" s="10" t="s">
        <v>168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</row>
    <row r="44" spans="1:13" x14ac:dyDescent="0.25">
      <c r="A44" s="10" t="s">
        <v>170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</row>
    <row r="45" spans="1:13" x14ac:dyDescent="0.25">
      <c r="A45" s="10" t="s">
        <v>172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</row>
    <row r="46" spans="1:13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</row>
    <row r="47" spans="1:13" x14ac:dyDescent="0.25">
      <c r="A47" s="10" t="s">
        <v>176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</row>
    <row r="48" spans="1:13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</row>
    <row r="49" spans="1:13" x14ac:dyDescent="0.25">
      <c r="A49" s="10" t="s">
        <v>180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</row>
    <row r="50" spans="1:13" x14ac:dyDescent="0.25">
      <c r="A50" s="10" t="s">
        <v>182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</row>
    <row r="51" spans="1:13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</row>
    <row r="52" spans="1:13" x14ac:dyDescent="0.25">
      <c r="A52" s="10" t="s">
        <v>186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</row>
    <row r="53" spans="1:13" x14ac:dyDescent="0.25">
      <c r="A53" s="10" t="s">
        <v>188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</row>
    <row r="54" spans="1:13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</row>
    <row r="55" spans="1:13" x14ac:dyDescent="0.25">
      <c r="A55" s="10" t="s">
        <v>192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</row>
    <row r="56" spans="1:13" x14ac:dyDescent="0.25">
      <c r="A56" s="10" t="s">
        <v>194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9139.27</v>
      </c>
      <c r="J56" s="15">
        <v>619.58000000000004</v>
      </c>
      <c r="K56" s="15">
        <v>0</v>
      </c>
      <c r="L56" s="15">
        <v>0</v>
      </c>
      <c r="M56" s="15">
        <v>0</v>
      </c>
    </row>
    <row r="57" spans="1:13" x14ac:dyDescent="0.25">
      <c r="A57" s="10" t="s">
        <v>196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</row>
    <row r="58" spans="1:13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</row>
    <row r="59" spans="1:13" x14ac:dyDescent="0.25">
      <c r="A59" s="10" t="s">
        <v>200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</row>
    <row r="60" spans="1:13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</row>
    <row r="61" spans="1:13" x14ac:dyDescent="0.25">
      <c r="A61" s="10" t="s">
        <v>204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</row>
    <row r="62" spans="1:13" x14ac:dyDescent="0.25">
      <c r="A62" s="10" t="s">
        <v>206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</row>
    <row r="63" spans="1:13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</row>
    <row r="64" spans="1:13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</row>
    <row r="65" spans="1:13" x14ac:dyDescent="0.25">
      <c r="A65" s="10" t="s">
        <v>212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</row>
    <row r="66" spans="1:13" x14ac:dyDescent="0.25">
      <c r="A66" s="10" t="s">
        <v>214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</row>
    <row r="67" spans="1:13" x14ac:dyDescent="0.25">
      <c r="A67" s="10" t="s">
        <v>216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</row>
    <row r="68" spans="1:13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</row>
    <row r="69" spans="1:13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</row>
    <row r="70" spans="1:13" x14ac:dyDescent="0.25">
      <c r="A70" s="10" t="s">
        <v>222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</row>
    <row r="71" spans="1:13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</row>
    <row r="72" spans="1:13" x14ac:dyDescent="0.25">
      <c r="A72" s="10" t="s">
        <v>226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</row>
    <row r="73" spans="1:13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</row>
    <row r="74" spans="1:13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</row>
    <row r="75" spans="1:13" x14ac:dyDescent="0.25">
      <c r="A75" s="10" t="s">
        <v>232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</row>
    <row r="76" spans="1:13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</row>
    <row r="77" spans="1:13" x14ac:dyDescent="0.25">
      <c r="A77" s="10" t="s">
        <v>236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</row>
    <row r="78" spans="1:13" x14ac:dyDescent="0.25">
      <c r="A78" s="10" t="s">
        <v>238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</row>
    <row r="79" spans="1:13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</row>
    <row r="80" spans="1:13" x14ac:dyDescent="0.25">
      <c r="A80" s="10" t="s">
        <v>242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</row>
    <row r="81" spans="1:13" x14ac:dyDescent="0.25">
      <c r="A81" s="10" t="s">
        <v>244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</row>
    <row r="82" spans="1:13" x14ac:dyDescent="0.25">
      <c r="A82" s="10" t="s">
        <v>246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44463.199999999997</v>
      </c>
    </row>
    <row r="83" spans="1:13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</row>
    <row r="84" spans="1:13" x14ac:dyDescent="0.25">
      <c r="A84" s="10" t="s">
        <v>250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</row>
    <row r="85" spans="1:13" x14ac:dyDescent="0.25">
      <c r="A85" s="10" t="s">
        <v>252</v>
      </c>
      <c r="B85" s="15">
        <v>0</v>
      </c>
      <c r="C85" s="15">
        <v>0</v>
      </c>
      <c r="D85" s="15">
        <v>0</v>
      </c>
      <c r="E85" s="15">
        <v>107119.37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</row>
    <row r="86" spans="1:13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</row>
    <row r="87" spans="1:13" x14ac:dyDescent="0.25">
      <c r="A87" s="10" t="s">
        <v>256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</row>
    <row r="88" spans="1:13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</row>
    <row r="89" spans="1:13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</row>
    <row r="90" spans="1:13" x14ac:dyDescent="0.25">
      <c r="A90" s="10" t="s">
        <v>262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</row>
    <row r="91" spans="1:13" x14ac:dyDescent="0.25">
      <c r="A91" s="10" t="s">
        <v>264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</row>
    <row r="92" spans="1:13" x14ac:dyDescent="0.25">
      <c r="A92" s="10" t="s">
        <v>266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</row>
    <row r="93" spans="1:13" x14ac:dyDescent="0.25">
      <c r="A93" s="10" t="s">
        <v>268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</row>
    <row r="94" spans="1:13" x14ac:dyDescent="0.25">
      <c r="A94" s="10" t="s">
        <v>270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</row>
    <row r="95" spans="1:13" x14ac:dyDescent="0.25">
      <c r="A95" s="10" t="s">
        <v>272</v>
      </c>
      <c r="B95" s="15">
        <v>0</v>
      </c>
      <c r="C95" s="15">
        <v>0</v>
      </c>
      <c r="D95" s="15">
        <v>0</v>
      </c>
      <c r="E95" s="15">
        <v>44085.89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</row>
    <row r="96" spans="1:13" x14ac:dyDescent="0.25">
      <c r="A96" s="10" t="s">
        <v>274</v>
      </c>
      <c r="B96" s="15">
        <v>0</v>
      </c>
      <c r="C96" s="15">
        <v>10989.27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</row>
    <row r="97" spans="1:13" x14ac:dyDescent="0.25">
      <c r="A97" s="10" t="s">
        <v>276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</row>
    <row r="98" spans="1:13" x14ac:dyDescent="0.25">
      <c r="A98" s="10" t="s">
        <v>278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</row>
    <row r="99" spans="1:13" x14ac:dyDescent="0.25">
      <c r="A99" s="10" t="s">
        <v>280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</row>
    <row r="100" spans="1:13" x14ac:dyDescent="0.25">
      <c r="A100" s="10" t="s">
        <v>282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</row>
    <row r="101" spans="1:13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</row>
    <row r="102" spans="1:13" x14ac:dyDescent="0.25">
      <c r="A102" s="10" t="s">
        <v>286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</row>
    <row r="103" spans="1:13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</row>
    <row r="104" spans="1:13" x14ac:dyDescent="0.25">
      <c r="A104" s="10" t="s">
        <v>290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</row>
    <row r="105" spans="1:13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</row>
    <row r="106" spans="1:13" x14ac:dyDescent="0.25">
      <c r="A106" s="10" t="s">
        <v>294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</row>
    <row r="107" spans="1:13" x14ac:dyDescent="0.25">
      <c r="A107" s="10" t="s">
        <v>296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</row>
    <row r="108" spans="1:13" x14ac:dyDescent="0.25">
      <c r="A108" s="10" t="s">
        <v>298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</row>
    <row r="109" spans="1:13" x14ac:dyDescent="0.25">
      <c r="A109" s="10" t="s">
        <v>300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</row>
    <row r="110" spans="1:13" x14ac:dyDescent="0.25">
      <c r="A110" s="10" t="s">
        <v>302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</row>
    <row r="111" spans="1:13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</row>
    <row r="112" spans="1:13" x14ac:dyDescent="0.25">
      <c r="A112" s="10" t="s">
        <v>306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</row>
    <row r="113" spans="1:13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</row>
    <row r="114" spans="1:13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</row>
    <row r="115" spans="1:13" x14ac:dyDescent="0.25">
      <c r="A115" s="10" t="s">
        <v>312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</row>
    <row r="116" spans="1:13" x14ac:dyDescent="0.25">
      <c r="A116" s="10" t="s">
        <v>314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</row>
    <row r="117" spans="1:13" x14ac:dyDescent="0.25">
      <c r="A117" s="10" t="s">
        <v>316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29826.53</v>
      </c>
    </row>
    <row r="118" spans="1:13" x14ac:dyDescent="0.25">
      <c r="A118" s="10" t="s">
        <v>318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</row>
    <row r="119" spans="1:13" x14ac:dyDescent="0.25">
      <c r="A119" s="10" t="s">
        <v>320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</row>
    <row r="120" spans="1:13" x14ac:dyDescent="0.25">
      <c r="A120" s="10" t="s">
        <v>322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</row>
    <row r="121" spans="1:13" x14ac:dyDescent="0.25">
      <c r="A121" s="10" t="s">
        <v>324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</row>
    <row r="122" spans="1:13" x14ac:dyDescent="0.25">
      <c r="A122" s="10" t="s">
        <v>326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</row>
    <row r="123" spans="1:13" x14ac:dyDescent="0.25">
      <c r="A123" s="10" t="s">
        <v>328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</row>
    <row r="124" spans="1:13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</row>
    <row r="125" spans="1:13" x14ac:dyDescent="0.25">
      <c r="A125" s="10" t="s">
        <v>332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</row>
    <row r="126" spans="1:13" x14ac:dyDescent="0.25">
      <c r="A126" s="10" t="s">
        <v>334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</row>
    <row r="127" spans="1:13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</row>
    <row r="128" spans="1:13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</row>
    <row r="129" spans="1:13" x14ac:dyDescent="0.25">
      <c r="A129" s="10" t="s">
        <v>340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</row>
    <row r="130" spans="1:13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</row>
    <row r="131" spans="1:13" x14ac:dyDescent="0.25">
      <c r="A131" s="10" t="s">
        <v>344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</row>
    <row r="132" spans="1:13" x14ac:dyDescent="0.25">
      <c r="A132" s="10" t="s">
        <v>346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</row>
    <row r="133" spans="1:13" x14ac:dyDescent="0.25">
      <c r="A133" s="10" t="s">
        <v>348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</row>
    <row r="134" spans="1:13" x14ac:dyDescent="0.25">
      <c r="A134" s="10" t="s">
        <v>350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</row>
    <row r="135" spans="1:13" x14ac:dyDescent="0.25">
      <c r="A135" s="10" t="s">
        <v>352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</row>
    <row r="136" spans="1:13" x14ac:dyDescent="0.25">
      <c r="A136" s="10" t="s">
        <v>354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</row>
    <row r="137" spans="1:13" x14ac:dyDescent="0.25">
      <c r="A137" s="10" t="s">
        <v>356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</row>
    <row r="138" spans="1:13" x14ac:dyDescent="0.25">
      <c r="A138" s="10" t="s">
        <v>358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</row>
    <row r="139" spans="1:13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</row>
    <row r="140" spans="1:13" x14ac:dyDescent="0.25">
      <c r="A140" s="10" t="s">
        <v>362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</row>
    <row r="141" spans="1:13" x14ac:dyDescent="0.25">
      <c r="A141" s="10" t="s">
        <v>364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</row>
    <row r="142" spans="1:13" x14ac:dyDescent="0.25">
      <c r="A142" s="10" t="s">
        <v>366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</row>
    <row r="143" spans="1:13" x14ac:dyDescent="0.25">
      <c r="A143" s="10" t="s">
        <v>368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</row>
    <row r="144" spans="1:13" x14ac:dyDescent="0.25">
      <c r="A144" s="10" t="s">
        <v>370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</row>
    <row r="145" spans="1:13" x14ac:dyDescent="0.25">
      <c r="A145" s="10" t="s">
        <v>372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</row>
    <row r="146" spans="1:13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</row>
    <row r="147" spans="1:13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</row>
    <row r="148" spans="1:13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</row>
    <row r="149" spans="1:13" x14ac:dyDescent="0.25">
      <c r="A149" s="10" t="s">
        <v>380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</row>
    <row r="150" spans="1:13" x14ac:dyDescent="0.25">
      <c r="A150" s="10" t="s">
        <v>382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</row>
    <row r="151" spans="1:13" x14ac:dyDescent="0.25">
      <c r="A151" s="10" t="s">
        <v>384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</row>
    <row r="152" spans="1:13" x14ac:dyDescent="0.25">
      <c r="A152" s="10" t="s">
        <v>386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</row>
    <row r="153" spans="1:13" x14ac:dyDescent="0.25">
      <c r="A153" s="10" t="s">
        <v>388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</row>
    <row r="154" spans="1:13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</row>
    <row r="155" spans="1:13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</row>
    <row r="156" spans="1:13" x14ac:dyDescent="0.25">
      <c r="A156" s="10" t="s">
        <v>394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</row>
    <row r="157" spans="1:13" x14ac:dyDescent="0.25">
      <c r="A157" s="10" t="s">
        <v>396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</row>
    <row r="158" spans="1:13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</row>
    <row r="159" spans="1:13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</row>
    <row r="160" spans="1:13" x14ac:dyDescent="0.25">
      <c r="A160" s="10" t="s">
        <v>402</v>
      </c>
      <c r="B160" s="15">
        <v>0</v>
      </c>
      <c r="C160" s="15">
        <v>0</v>
      </c>
      <c r="D160" s="15">
        <v>0</v>
      </c>
      <c r="E160" s="15">
        <v>0</v>
      </c>
      <c r="F160" s="15">
        <v>2855.35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</row>
    <row r="161" spans="1:13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</row>
    <row r="162" spans="1:13" x14ac:dyDescent="0.25">
      <c r="A162" s="10" t="s">
        <v>406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</row>
    <row r="163" spans="1:13" x14ac:dyDescent="0.25">
      <c r="A163" s="10" t="s">
        <v>408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</row>
    <row r="164" spans="1:13" x14ac:dyDescent="0.25">
      <c r="A164" s="10" t="s">
        <v>410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</row>
    <row r="165" spans="1:13" x14ac:dyDescent="0.25">
      <c r="A165" s="10" t="s">
        <v>412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</row>
    <row r="166" spans="1:13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</row>
    <row r="167" spans="1:13" x14ac:dyDescent="0.25">
      <c r="A167" s="10" t="s">
        <v>416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</row>
    <row r="168" spans="1:13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</row>
    <row r="169" spans="1:13" x14ac:dyDescent="0.25">
      <c r="A169" s="10" t="s">
        <v>420</v>
      </c>
      <c r="B169" s="15">
        <v>0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15637.73</v>
      </c>
      <c r="K169" s="15">
        <v>1339.79</v>
      </c>
      <c r="L169" s="15">
        <v>0</v>
      </c>
      <c r="M169" s="15">
        <v>0</v>
      </c>
    </row>
    <row r="170" spans="1:13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</row>
    <row r="171" spans="1:13" x14ac:dyDescent="0.25">
      <c r="A171" s="10" t="s">
        <v>424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</row>
    <row r="172" spans="1:13" x14ac:dyDescent="0.25">
      <c r="A172" s="10" t="s">
        <v>426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</row>
    <row r="173" spans="1:13" x14ac:dyDescent="0.25">
      <c r="A173" s="10" t="s">
        <v>428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3255.3</v>
      </c>
      <c r="L173" s="15">
        <v>0</v>
      </c>
      <c r="M173" s="15">
        <v>0</v>
      </c>
    </row>
    <row r="174" spans="1:13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</row>
    <row r="175" spans="1:13" x14ac:dyDescent="0.25">
      <c r="A175" s="10" t="s">
        <v>432</v>
      </c>
      <c r="B175" s="15">
        <v>0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</row>
    <row r="176" spans="1:13" x14ac:dyDescent="0.25">
      <c r="A176" s="10" t="s">
        <v>434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</row>
    <row r="177" spans="1:13" x14ac:dyDescent="0.25">
      <c r="A177" s="10" t="s">
        <v>436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</row>
    <row r="178" spans="1:13" x14ac:dyDescent="0.25">
      <c r="A178" s="10" t="s">
        <v>438</v>
      </c>
      <c r="B178" s="15">
        <v>1022.23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</row>
    <row r="179" spans="1:13" x14ac:dyDescent="0.25">
      <c r="A179" s="10" t="s">
        <v>440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</row>
    <row r="180" spans="1:13" x14ac:dyDescent="0.25">
      <c r="A180" s="10" t="s">
        <v>442</v>
      </c>
      <c r="B180" s="15">
        <v>0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</row>
    <row r="181" spans="1:13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</row>
    <row r="182" spans="1:13" x14ac:dyDescent="0.25">
      <c r="A182" s="10" t="s">
        <v>446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7274.43</v>
      </c>
      <c r="L182" s="15">
        <v>0</v>
      </c>
      <c r="M182" s="15">
        <v>0</v>
      </c>
    </row>
    <row r="183" spans="1:13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</row>
    <row r="184" spans="1:13" x14ac:dyDescent="0.25">
      <c r="A184" s="10" t="s">
        <v>450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</row>
    <row r="185" spans="1:13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</row>
    <row r="186" spans="1:13" x14ac:dyDescent="0.25">
      <c r="A186" s="10" t="s">
        <v>454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</row>
    <row r="187" spans="1:13" x14ac:dyDescent="0.25">
      <c r="A187" s="10" t="s">
        <v>456</v>
      </c>
      <c r="B187" s="15">
        <v>0</v>
      </c>
      <c r="C187" s="15">
        <v>0</v>
      </c>
      <c r="D187" s="15">
        <v>0</v>
      </c>
      <c r="E187" s="15">
        <v>0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</row>
    <row r="188" spans="1:13" x14ac:dyDescent="0.25">
      <c r="A188" s="10" t="s">
        <v>458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</row>
    <row r="189" spans="1:13" x14ac:dyDescent="0.25">
      <c r="A189" s="10" t="s">
        <v>460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</row>
    <row r="190" spans="1:13" x14ac:dyDescent="0.25">
      <c r="A190" s="10" t="s">
        <v>462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</row>
    <row r="191" spans="1:13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</row>
    <row r="192" spans="1:13" x14ac:dyDescent="0.25">
      <c r="A192" s="10" t="s">
        <v>466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</row>
    <row r="193" spans="1:13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</row>
    <row r="194" spans="1:13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</row>
    <row r="195" spans="1:13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61.69</v>
      </c>
      <c r="K195" s="15">
        <v>0</v>
      </c>
      <c r="L195" s="15">
        <v>0</v>
      </c>
      <c r="M195" s="15">
        <v>0</v>
      </c>
    </row>
    <row r="196" spans="1:13" x14ac:dyDescent="0.25">
      <c r="A196" s="10" t="s">
        <v>474</v>
      </c>
      <c r="B196" s="15">
        <v>0</v>
      </c>
      <c r="C196" s="15">
        <v>0</v>
      </c>
      <c r="D196" s="15">
        <v>0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</row>
    <row r="197" spans="1:13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0</v>
      </c>
    </row>
    <row r="198" spans="1:13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</row>
    <row r="199" spans="1:13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</row>
    <row r="200" spans="1:13" x14ac:dyDescent="0.25">
      <c r="A200" s="10" t="s">
        <v>482</v>
      </c>
      <c r="B200" s="15">
        <v>0</v>
      </c>
      <c r="C200" s="15">
        <v>0</v>
      </c>
      <c r="D200" s="15">
        <v>0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76941.279999999999</v>
      </c>
      <c r="M200" s="15">
        <v>0</v>
      </c>
    </row>
    <row r="201" spans="1:13" x14ac:dyDescent="0.25">
      <c r="A201" s="10" t="s">
        <v>484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</row>
    <row r="202" spans="1:13" x14ac:dyDescent="0.25">
      <c r="A202" s="10" t="s">
        <v>486</v>
      </c>
      <c r="B202" s="15">
        <v>0</v>
      </c>
      <c r="C202" s="15">
        <v>0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</row>
    <row r="203" spans="1:13" x14ac:dyDescent="0.25">
      <c r="A203" s="10" t="s">
        <v>488</v>
      </c>
      <c r="B203" s="15">
        <v>0</v>
      </c>
      <c r="C203" s="15">
        <v>0</v>
      </c>
      <c r="D203" s="15">
        <v>9329.32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</row>
    <row r="204" spans="1:13" x14ac:dyDescent="0.25">
      <c r="A204" s="10" t="s">
        <v>490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</row>
    <row r="205" spans="1:13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</row>
    <row r="206" spans="1:13" x14ac:dyDescent="0.25">
      <c r="A206" s="10" t="s">
        <v>494</v>
      </c>
      <c r="B206" s="15">
        <v>0</v>
      </c>
      <c r="C206" s="15">
        <v>0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</row>
    <row r="207" spans="1:13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</row>
    <row r="208" spans="1:13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</row>
    <row r="209" spans="1:13" x14ac:dyDescent="0.25">
      <c r="A209" s="10" t="s">
        <v>500</v>
      </c>
      <c r="B209" s="15">
        <v>0</v>
      </c>
      <c r="C209" s="15">
        <v>0</v>
      </c>
      <c r="D209" s="15">
        <v>0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</row>
    <row r="210" spans="1:13" x14ac:dyDescent="0.25">
      <c r="A210" s="10" t="s">
        <v>502</v>
      </c>
      <c r="B210" s="15">
        <v>0</v>
      </c>
      <c r="C210" s="15">
        <v>0</v>
      </c>
      <c r="D210" s="15">
        <v>2777.77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</row>
    <row r="211" spans="1:13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0</v>
      </c>
      <c r="J211" s="15">
        <v>0</v>
      </c>
      <c r="K211" s="15">
        <v>0</v>
      </c>
      <c r="L211" s="15">
        <v>0</v>
      </c>
      <c r="M211" s="15">
        <v>0</v>
      </c>
    </row>
    <row r="212" spans="1:13" x14ac:dyDescent="0.25">
      <c r="A212" s="10" t="s">
        <v>506</v>
      </c>
      <c r="B212" s="15">
        <v>0</v>
      </c>
      <c r="C212" s="15">
        <v>0</v>
      </c>
      <c r="D212" s="15">
        <v>0</v>
      </c>
      <c r="E212" s="15">
        <v>0</v>
      </c>
      <c r="F212" s="15">
        <v>0</v>
      </c>
      <c r="G212" s="15">
        <v>0</v>
      </c>
      <c r="H212" s="15">
        <v>9849.5300000000007</v>
      </c>
      <c r="I212" s="15">
        <v>0</v>
      </c>
      <c r="J212" s="15">
        <v>0</v>
      </c>
      <c r="K212" s="15">
        <v>420.33</v>
      </c>
      <c r="L212" s="15">
        <v>0</v>
      </c>
      <c r="M212" s="15">
        <v>0</v>
      </c>
    </row>
    <row r="213" spans="1:13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</row>
    <row r="214" spans="1:13" x14ac:dyDescent="0.25">
      <c r="A214" s="10" t="s">
        <v>510</v>
      </c>
      <c r="B214" s="15">
        <v>0</v>
      </c>
      <c r="C214" s="15">
        <v>46085.91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</row>
    <row r="215" spans="1:13" x14ac:dyDescent="0.25">
      <c r="A215" s="10" t="s">
        <v>512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0"/>
  <dimension ref="A1:N215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</row>
    <row r="5" spans="1:14" x14ac:dyDescent="0.25">
      <c r="A5" s="10" t="s">
        <v>92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</row>
    <row r="6" spans="1:14" x14ac:dyDescent="0.25">
      <c r="A6" s="10" t="s">
        <v>94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</row>
    <row r="7" spans="1:14" x14ac:dyDescent="0.25">
      <c r="A7" s="10" t="s">
        <v>96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</row>
    <row r="8" spans="1:14" x14ac:dyDescent="0.25">
      <c r="A8" s="10" t="s">
        <v>98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</row>
    <row r="9" spans="1:14" x14ac:dyDescent="0.25">
      <c r="A9" s="10" t="s">
        <v>100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</row>
    <row r="14" spans="1:14" x14ac:dyDescent="0.25">
      <c r="A14" s="10" t="s">
        <v>110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</row>
    <row r="15" spans="1:14" x14ac:dyDescent="0.25">
      <c r="A15" s="10" t="s">
        <v>112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</row>
    <row r="16" spans="1:14" x14ac:dyDescent="0.25">
      <c r="A16" s="10" t="s">
        <v>114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25">
      <c r="A17" s="10" t="s">
        <v>116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</row>
    <row r="18" spans="1:13" x14ac:dyDescent="0.25">
      <c r="A18" s="10" t="s">
        <v>118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</row>
    <row r="19" spans="1:13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</row>
    <row r="20" spans="1:13" x14ac:dyDescent="0.25">
      <c r="A20" s="10" t="s">
        <v>122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</row>
    <row r="21" spans="1:13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</row>
    <row r="22" spans="1:13" x14ac:dyDescent="0.25">
      <c r="A22" s="10" t="s">
        <v>126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</row>
    <row r="23" spans="1:13" x14ac:dyDescent="0.25">
      <c r="A23" s="10" t="s">
        <v>128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</row>
    <row r="24" spans="1:13" x14ac:dyDescent="0.25">
      <c r="A24" s="10" t="s">
        <v>130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</row>
    <row r="25" spans="1:13" x14ac:dyDescent="0.25">
      <c r="A25" s="10" t="s">
        <v>132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</row>
    <row r="26" spans="1:13" x14ac:dyDescent="0.25">
      <c r="A26" s="10" t="s">
        <v>134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</row>
    <row r="27" spans="1:13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</row>
    <row r="28" spans="1:13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</row>
    <row r="29" spans="1:13" x14ac:dyDescent="0.25">
      <c r="A29" s="10" t="s">
        <v>140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</row>
    <row r="30" spans="1:13" x14ac:dyDescent="0.25">
      <c r="A30" s="10" t="s">
        <v>142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</row>
    <row r="31" spans="1:13" x14ac:dyDescent="0.25">
      <c r="A31" s="10" t="s">
        <v>144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</row>
    <row r="32" spans="1:13" x14ac:dyDescent="0.25">
      <c r="A32" s="10" t="s">
        <v>146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</row>
    <row r="33" spans="1:13" x14ac:dyDescent="0.25">
      <c r="A33" s="10" t="s">
        <v>148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</row>
    <row r="34" spans="1:13" x14ac:dyDescent="0.25">
      <c r="A34" s="10" t="s">
        <v>150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</row>
    <row r="35" spans="1:13" x14ac:dyDescent="0.25">
      <c r="A35" s="10" t="s">
        <v>152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</row>
    <row r="36" spans="1:13" x14ac:dyDescent="0.25">
      <c r="A36" s="10" t="s">
        <v>154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</row>
    <row r="37" spans="1:13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</row>
    <row r="38" spans="1:13" x14ac:dyDescent="0.25">
      <c r="A38" s="10" t="s">
        <v>158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</row>
    <row r="39" spans="1:13" x14ac:dyDescent="0.25">
      <c r="A39" s="10" t="s">
        <v>160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</row>
    <row r="40" spans="1:13" x14ac:dyDescent="0.25">
      <c r="A40" s="10" t="s">
        <v>162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</row>
    <row r="41" spans="1:13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</row>
    <row r="42" spans="1:13" x14ac:dyDescent="0.25">
      <c r="A42" s="10" t="s">
        <v>166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</row>
    <row r="43" spans="1:13" x14ac:dyDescent="0.25">
      <c r="A43" s="10" t="s">
        <v>168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</row>
    <row r="44" spans="1:13" x14ac:dyDescent="0.25">
      <c r="A44" s="10" t="s">
        <v>170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</row>
    <row r="45" spans="1:13" x14ac:dyDescent="0.25">
      <c r="A45" s="10" t="s">
        <v>172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</row>
    <row r="46" spans="1:13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</row>
    <row r="47" spans="1:13" x14ac:dyDescent="0.25">
      <c r="A47" s="10" t="s">
        <v>176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</row>
    <row r="48" spans="1:13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</row>
    <row r="49" spans="1:13" x14ac:dyDescent="0.25">
      <c r="A49" s="10" t="s">
        <v>180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</row>
    <row r="50" spans="1:13" x14ac:dyDescent="0.25">
      <c r="A50" s="10" t="s">
        <v>182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</row>
    <row r="51" spans="1:13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</row>
    <row r="52" spans="1:13" x14ac:dyDescent="0.25">
      <c r="A52" s="10" t="s">
        <v>186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</row>
    <row r="53" spans="1:13" x14ac:dyDescent="0.25">
      <c r="A53" s="10" t="s">
        <v>188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</row>
    <row r="54" spans="1:13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</row>
    <row r="55" spans="1:13" x14ac:dyDescent="0.25">
      <c r="A55" s="10" t="s">
        <v>192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</row>
    <row r="56" spans="1:13" x14ac:dyDescent="0.25">
      <c r="A56" s="10" t="s">
        <v>194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</row>
    <row r="57" spans="1:13" x14ac:dyDescent="0.25">
      <c r="A57" s="10" t="s">
        <v>196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</row>
    <row r="58" spans="1:13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</row>
    <row r="59" spans="1:13" x14ac:dyDescent="0.25">
      <c r="A59" s="10" t="s">
        <v>200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</row>
    <row r="60" spans="1:13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</row>
    <row r="61" spans="1:13" x14ac:dyDescent="0.25">
      <c r="A61" s="10" t="s">
        <v>204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</row>
    <row r="62" spans="1:13" x14ac:dyDescent="0.25">
      <c r="A62" s="10" t="s">
        <v>206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</row>
    <row r="63" spans="1:13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</row>
    <row r="64" spans="1:13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</row>
    <row r="65" spans="1:13" x14ac:dyDescent="0.25">
      <c r="A65" s="10" t="s">
        <v>212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</row>
    <row r="66" spans="1:13" x14ac:dyDescent="0.25">
      <c r="A66" s="10" t="s">
        <v>214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</row>
    <row r="67" spans="1:13" x14ac:dyDescent="0.25">
      <c r="A67" s="10" t="s">
        <v>216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</row>
    <row r="68" spans="1:13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</row>
    <row r="69" spans="1:13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</row>
    <row r="70" spans="1:13" x14ac:dyDescent="0.25">
      <c r="A70" s="10" t="s">
        <v>222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</row>
    <row r="71" spans="1:13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</row>
    <row r="72" spans="1:13" x14ac:dyDescent="0.25">
      <c r="A72" s="10" t="s">
        <v>226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</row>
    <row r="73" spans="1:13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</row>
    <row r="74" spans="1:13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</row>
    <row r="75" spans="1:13" x14ac:dyDescent="0.25">
      <c r="A75" s="10" t="s">
        <v>232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</row>
    <row r="76" spans="1:13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</row>
    <row r="77" spans="1:13" x14ac:dyDescent="0.25">
      <c r="A77" s="10" t="s">
        <v>236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</row>
    <row r="78" spans="1:13" x14ac:dyDescent="0.25">
      <c r="A78" s="10" t="s">
        <v>238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</row>
    <row r="79" spans="1:13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</row>
    <row r="80" spans="1:13" x14ac:dyDescent="0.25">
      <c r="A80" s="10" t="s">
        <v>242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</row>
    <row r="81" spans="1:13" x14ac:dyDescent="0.25">
      <c r="A81" s="10" t="s">
        <v>244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</row>
    <row r="82" spans="1:13" x14ac:dyDescent="0.25">
      <c r="A82" s="10" t="s">
        <v>246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</row>
    <row r="83" spans="1:13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</row>
    <row r="84" spans="1:13" x14ac:dyDescent="0.25">
      <c r="A84" s="10" t="s">
        <v>250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</row>
    <row r="85" spans="1:13" x14ac:dyDescent="0.25">
      <c r="A85" s="10" t="s">
        <v>252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</row>
    <row r="86" spans="1:13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</row>
    <row r="87" spans="1:13" x14ac:dyDescent="0.25">
      <c r="A87" s="10" t="s">
        <v>256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</row>
    <row r="88" spans="1:13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</row>
    <row r="89" spans="1:13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</row>
    <row r="90" spans="1:13" x14ac:dyDescent="0.25">
      <c r="A90" s="10" t="s">
        <v>262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</row>
    <row r="91" spans="1:13" x14ac:dyDescent="0.25">
      <c r="A91" s="10" t="s">
        <v>264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</row>
    <row r="92" spans="1:13" x14ac:dyDescent="0.25">
      <c r="A92" s="10" t="s">
        <v>266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</row>
    <row r="93" spans="1:13" x14ac:dyDescent="0.25">
      <c r="A93" s="10" t="s">
        <v>268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</row>
    <row r="94" spans="1:13" x14ac:dyDescent="0.25">
      <c r="A94" s="10" t="s">
        <v>270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</row>
    <row r="95" spans="1:13" x14ac:dyDescent="0.25">
      <c r="A95" s="10" t="s">
        <v>272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</row>
    <row r="96" spans="1:13" x14ac:dyDescent="0.25">
      <c r="A96" s="10" t="s">
        <v>274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</row>
    <row r="97" spans="1:13" x14ac:dyDescent="0.25">
      <c r="A97" s="10" t="s">
        <v>276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</row>
    <row r="98" spans="1:13" x14ac:dyDescent="0.25">
      <c r="A98" s="10" t="s">
        <v>278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</row>
    <row r="99" spans="1:13" x14ac:dyDescent="0.25">
      <c r="A99" s="10" t="s">
        <v>280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</row>
    <row r="100" spans="1:13" x14ac:dyDescent="0.25">
      <c r="A100" s="10" t="s">
        <v>282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</row>
    <row r="101" spans="1:13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</row>
    <row r="102" spans="1:13" x14ac:dyDescent="0.25">
      <c r="A102" s="10" t="s">
        <v>286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</row>
    <row r="103" spans="1:13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</row>
    <row r="104" spans="1:13" x14ac:dyDescent="0.25">
      <c r="A104" s="10" t="s">
        <v>290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</row>
    <row r="105" spans="1:13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</row>
    <row r="106" spans="1:13" x14ac:dyDescent="0.25">
      <c r="A106" s="10" t="s">
        <v>294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</row>
    <row r="107" spans="1:13" x14ac:dyDescent="0.25">
      <c r="A107" s="10" t="s">
        <v>296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</row>
    <row r="108" spans="1:13" x14ac:dyDescent="0.25">
      <c r="A108" s="10" t="s">
        <v>298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</row>
    <row r="109" spans="1:13" x14ac:dyDescent="0.25">
      <c r="A109" s="10" t="s">
        <v>300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</row>
    <row r="110" spans="1:13" x14ac:dyDescent="0.25">
      <c r="A110" s="10" t="s">
        <v>302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</row>
    <row r="111" spans="1:13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</row>
    <row r="112" spans="1:13" x14ac:dyDescent="0.25">
      <c r="A112" s="10" t="s">
        <v>306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</row>
    <row r="113" spans="1:13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</row>
    <row r="114" spans="1:13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</row>
    <row r="115" spans="1:13" x14ac:dyDescent="0.25">
      <c r="A115" s="10" t="s">
        <v>312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</row>
    <row r="116" spans="1:13" x14ac:dyDescent="0.25">
      <c r="A116" s="10" t="s">
        <v>314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</row>
    <row r="117" spans="1:13" x14ac:dyDescent="0.25">
      <c r="A117" s="10" t="s">
        <v>316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</row>
    <row r="118" spans="1:13" x14ac:dyDescent="0.25">
      <c r="A118" s="10" t="s">
        <v>318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</row>
    <row r="119" spans="1:13" x14ac:dyDescent="0.25">
      <c r="A119" s="10" t="s">
        <v>320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</row>
    <row r="120" spans="1:13" x14ac:dyDescent="0.25">
      <c r="A120" s="10" t="s">
        <v>322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</row>
    <row r="121" spans="1:13" x14ac:dyDescent="0.25">
      <c r="A121" s="10" t="s">
        <v>324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</row>
    <row r="122" spans="1:13" x14ac:dyDescent="0.25">
      <c r="A122" s="10" t="s">
        <v>326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</row>
    <row r="123" spans="1:13" x14ac:dyDescent="0.25">
      <c r="A123" s="10" t="s">
        <v>328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</row>
    <row r="124" spans="1:13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</row>
    <row r="125" spans="1:13" x14ac:dyDescent="0.25">
      <c r="A125" s="10" t="s">
        <v>332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</row>
    <row r="126" spans="1:13" x14ac:dyDescent="0.25">
      <c r="A126" s="10" t="s">
        <v>334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</row>
    <row r="127" spans="1:13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</row>
    <row r="128" spans="1:13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</row>
    <row r="129" spans="1:13" x14ac:dyDescent="0.25">
      <c r="A129" s="10" t="s">
        <v>340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</row>
    <row r="130" spans="1:13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</row>
    <row r="131" spans="1:13" x14ac:dyDescent="0.25">
      <c r="A131" s="10" t="s">
        <v>344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</row>
    <row r="132" spans="1:13" x14ac:dyDescent="0.25">
      <c r="A132" s="10" t="s">
        <v>346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</row>
    <row r="133" spans="1:13" x14ac:dyDescent="0.25">
      <c r="A133" s="10" t="s">
        <v>348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</row>
    <row r="134" spans="1:13" x14ac:dyDescent="0.25">
      <c r="A134" s="10" t="s">
        <v>350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</row>
    <row r="135" spans="1:13" x14ac:dyDescent="0.25">
      <c r="A135" s="10" t="s">
        <v>352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</row>
    <row r="136" spans="1:13" x14ac:dyDescent="0.25">
      <c r="A136" s="10" t="s">
        <v>354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</row>
    <row r="137" spans="1:13" x14ac:dyDescent="0.25">
      <c r="A137" s="10" t="s">
        <v>356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</row>
    <row r="138" spans="1:13" x14ac:dyDescent="0.25">
      <c r="A138" s="10" t="s">
        <v>358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</row>
    <row r="139" spans="1:13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</row>
    <row r="140" spans="1:13" x14ac:dyDescent="0.25">
      <c r="A140" s="10" t="s">
        <v>362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</row>
    <row r="141" spans="1:13" x14ac:dyDescent="0.25">
      <c r="A141" s="10" t="s">
        <v>364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</row>
    <row r="142" spans="1:13" x14ac:dyDescent="0.25">
      <c r="A142" s="10" t="s">
        <v>366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</row>
    <row r="143" spans="1:13" x14ac:dyDescent="0.25">
      <c r="A143" s="10" t="s">
        <v>368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</row>
    <row r="144" spans="1:13" x14ac:dyDescent="0.25">
      <c r="A144" s="10" t="s">
        <v>370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</row>
    <row r="145" spans="1:13" x14ac:dyDescent="0.25">
      <c r="A145" s="10" t="s">
        <v>372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</row>
    <row r="146" spans="1:13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</row>
    <row r="147" spans="1:13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</row>
    <row r="148" spans="1:13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</row>
    <row r="149" spans="1:13" x14ac:dyDescent="0.25">
      <c r="A149" s="10" t="s">
        <v>380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</row>
    <row r="150" spans="1:13" x14ac:dyDescent="0.25">
      <c r="A150" s="10" t="s">
        <v>382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</row>
    <row r="151" spans="1:13" x14ac:dyDescent="0.25">
      <c r="A151" s="10" t="s">
        <v>384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</row>
    <row r="152" spans="1:13" x14ac:dyDescent="0.25">
      <c r="A152" s="10" t="s">
        <v>386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</row>
    <row r="153" spans="1:13" x14ac:dyDescent="0.25">
      <c r="A153" s="10" t="s">
        <v>388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</row>
    <row r="154" spans="1:13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</row>
    <row r="155" spans="1:13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</row>
    <row r="156" spans="1:13" x14ac:dyDescent="0.25">
      <c r="A156" s="10" t="s">
        <v>394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</row>
    <row r="157" spans="1:13" x14ac:dyDescent="0.25">
      <c r="A157" s="10" t="s">
        <v>396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</row>
    <row r="158" spans="1:13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</row>
    <row r="159" spans="1:13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</row>
    <row r="160" spans="1:13" x14ac:dyDescent="0.25">
      <c r="A160" s="10" t="s">
        <v>402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</row>
    <row r="161" spans="1:13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</row>
    <row r="162" spans="1:13" x14ac:dyDescent="0.25">
      <c r="A162" s="10" t="s">
        <v>406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</row>
    <row r="163" spans="1:13" x14ac:dyDescent="0.25">
      <c r="A163" s="10" t="s">
        <v>408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</row>
    <row r="164" spans="1:13" x14ac:dyDescent="0.25">
      <c r="A164" s="10" t="s">
        <v>410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</row>
    <row r="165" spans="1:13" x14ac:dyDescent="0.25">
      <c r="A165" s="10" t="s">
        <v>412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</row>
    <row r="166" spans="1:13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</row>
    <row r="167" spans="1:13" x14ac:dyDescent="0.25">
      <c r="A167" s="10" t="s">
        <v>416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</row>
    <row r="168" spans="1:13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</row>
    <row r="169" spans="1:13" x14ac:dyDescent="0.25">
      <c r="A169" s="10" t="s">
        <v>420</v>
      </c>
      <c r="B169" s="15">
        <v>0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</row>
    <row r="170" spans="1:13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</row>
    <row r="171" spans="1:13" x14ac:dyDescent="0.25">
      <c r="A171" s="10" t="s">
        <v>424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</row>
    <row r="172" spans="1:13" x14ac:dyDescent="0.25">
      <c r="A172" s="10" t="s">
        <v>426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</row>
    <row r="173" spans="1:13" x14ac:dyDescent="0.25">
      <c r="A173" s="10" t="s">
        <v>428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</row>
    <row r="174" spans="1:13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</row>
    <row r="175" spans="1:13" x14ac:dyDescent="0.25">
      <c r="A175" s="10" t="s">
        <v>432</v>
      </c>
      <c r="B175" s="15">
        <v>0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</row>
    <row r="176" spans="1:13" x14ac:dyDescent="0.25">
      <c r="A176" s="10" t="s">
        <v>434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</row>
    <row r="177" spans="1:13" x14ac:dyDescent="0.25">
      <c r="A177" s="10" t="s">
        <v>436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</row>
    <row r="178" spans="1:13" x14ac:dyDescent="0.25">
      <c r="A178" s="10" t="s">
        <v>438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</row>
    <row r="179" spans="1:13" x14ac:dyDescent="0.25">
      <c r="A179" s="10" t="s">
        <v>440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</row>
    <row r="180" spans="1:13" x14ac:dyDescent="0.25">
      <c r="A180" s="10" t="s">
        <v>442</v>
      </c>
      <c r="B180" s="15">
        <v>0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</row>
    <row r="181" spans="1:13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</row>
    <row r="182" spans="1:13" x14ac:dyDescent="0.25">
      <c r="A182" s="10" t="s">
        <v>446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</row>
    <row r="183" spans="1:13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</row>
    <row r="184" spans="1:13" x14ac:dyDescent="0.25">
      <c r="A184" s="10" t="s">
        <v>450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</row>
    <row r="185" spans="1:13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</row>
    <row r="186" spans="1:13" x14ac:dyDescent="0.25">
      <c r="A186" s="10" t="s">
        <v>454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</row>
    <row r="187" spans="1:13" x14ac:dyDescent="0.25">
      <c r="A187" s="10" t="s">
        <v>456</v>
      </c>
      <c r="B187" s="15">
        <v>0</v>
      </c>
      <c r="C187" s="15">
        <v>0</v>
      </c>
      <c r="D187" s="15">
        <v>0</v>
      </c>
      <c r="E187" s="15">
        <v>0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</row>
    <row r="188" spans="1:13" x14ac:dyDescent="0.25">
      <c r="A188" s="10" t="s">
        <v>458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</row>
    <row r="189" spans="1:13" x14ac:dyDescent="0.25">
      <c r="A189" s="10" t="s">
        <v>460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</row>
    <row r="190" spans="1:13" x14ac:dyDescent="0.25">
      <c r="A190" s="10" t="s">
        <v>462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</row>
    <row r="191" spans="1:13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</row>
    <row r="192" spans="1:13" x14ac:dyDescent="0.25">
      <c r="A192" s="10" t="s">
        <v>466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</row>
    <row r="193" spans="1:13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</row>
    <row r="194" spans="1:13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</row>
    <row r="195" spans="1:13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</row>
    <row r="196" spans="1:13" x14ac:dyDescent="0.25">
      <c r="A196" s="10" t="s">
        <v>474</v>
      </c>
      <c r="B196" s="15">
        <v>0</v>
      </c>
      <c r="C196" s="15">
        <v>0</v>
      </c>
      <c r="D196" s="15">
        <v>0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</row>
    <row r="197" spans="1:13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0</v>
      </c>
    </row>
    <row r="198" spans="1:13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</row>
    <row r="199" spans="1:13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</row>
    <row r="200" spans="1:13" x14ac:dyDescent="0.25">
      <c r="A200" s="10" t="s">
        <v>482</v>
      </c>
      <c r="B200" s="15">
        <v>0</v>
      </c>
      <c r="C200" s="15">
        <v>0</v>
      </c>
      <c r="D200" s="15">
        <v>0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</row>
    <row r="201" spans="1:13" x14ac:dyDescent="0.25">
      <c r="A201" s="10" t="s">
        <v>484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</row>
    <row r="202" spans="1:13" x14ac:dyDescent="0.25">
      <c r="A202" s="10" t="s">
        <v>486</v>
      </c>
      <c r="B202" s="15">
        <v>0</v>
      </c>
      <c r="C202" s="15">
        <v>0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</row>
    <row r="203" spans="1:13" x14ac:dyDescent="0.25">
      <c r="A203" s="10" t="s">
        <v>488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</row>
    <row r="204" spans="1:13" x14ac:dyDescent="0.25">
      <c r="A204" s="10" t="s">
        <v>490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</row>
    <row r="205" spans="1:13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</row>
    <row r="206" spans="1:13" x14ac:dyDescent="0.25">
      <c r="A206" s="10" t="s">
        <v>494</v>
      </c>
      <c r="B206" s="15">
        <v>0</v>
      </c>
      <c r="C206" s="15">
        <v>0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</row>
    <row r="207" spans="1:13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</row>
    <row r="208" spans="1:13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</row>
    <row r="209" spans="1:13" x14ac:dyDescent="0.25">
      <c r="A209" s="10" t="s">
        <v>500</v>
      </c>
      <c r="B209" s="15">
        <v>0</v>
      </c>
      <c r="C209" s="15">
        <v>0</v>
      </c>
      <c r="D209" s="15">
        <v>0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</row>
    <row r="210" spans="1:13" x14ac:dyDescent="0.25">
      <c r="A210" s="10" t="s">
        <v>502</v>
      </c>
      <c r="B210" s="15">
        <v>0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</row>
    <row r="211" spans="1:13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0</v>
      </c>
      <c r="J211" s="15">
        <v>0</v>
      </c>
      <c r="K211" s="15">
        <v>0</v>
      </c>
      <c r="L211" s="15">
        <v>0</v>
      </c>
      <c r="M211" s="15">
        <v>0</v>
      </c>
    </row>
    <row r="212" spans="1:13" x14ac:dyDescent="0.25">
      <c r="A212" s="10" t="s">
        <v>506</v>
      </c>
      <c r="B212" s="15">
        <v>0</v>
      </c>
      <c r="C212" s="15">
        <v>0</v>
      </c>
      <c r="D212" s="15">
        <v>0</v>
      </c>
      <c r="E212" s="15">
        <v>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</row>
    <row r="213" spans="1:13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</row>
    <row r="214" spans="1:13" x14ac:dyDescent="0.25">
      <c r="A214" s="10" t="s">
        <v>510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</row>
    <row r="215" spans="1:13" x14ac:dyDescent="0.25">
      <c r="A215" s="10" t="s">
        <v>512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9"/>
  <dimension ref="A1:N215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</row>
    <row r="5" spans="1:14" x14ac:dyDescent="0.25">
      <c r="A5" s="10" t="s">
        <v>92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</row>
    <row r="6" spans="1:14" x14ac:dyDescent="0.25">
      <c r="A6" s="10" t="s">
        <v>94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</row>
    <row r="7" spans="1:14" x14ac:dyDescent="0.25">
      <c r="A7" s="10" t="s">
        <v>96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</row>
    <row r="8" spans="1:14" x14ac:dyDescent="0.25">
      <c r="A8" s="10" t="s">
        <v>98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</row>
    <row r="9" spans="1:14" x14ac:dyDescent="0.25">
      <c r="A9" s="10" t="s">
        <v>100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10" t="s">
        <v>110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10" t="s">
        <v>112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</row>
    <row r="16" spans="1:14" x14ac:dyDescent="0.25">
      <c r="A16" s="10" t="s">
        <v>114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</row>
    <row r="17" spans="1:14" x14ac:dyDescent="0.25">
      <c r="A17" s="10" t="s">
        <v>116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</row>
    <row r="18" spans="1:14" x14ac:dyDescent="0.25">
      <c r="A18" s="10" t="s">
        <v>118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</row>
    <row r="20" spans="1:14" x14ac:dyDescent="0.25">
      <c r="A20" s="10" t="s">
        <v>122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</row>
    <row r="21" spans="1:14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</row>
    <row r="22" spans="1:14" x14ac:dyDescent="0.25">
      <c r="A22" s="10" t="s">
        <v>126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</row>
    <row r="23" spans="1:14" x14ac:dyDescent="0.25">
      <c r="A23" s="10" t="s">
        <v>128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</row>
    <row r="24" spans="1:14" x14ac:dyDescent="0.25">
      <c r="A24" s="10" t="s">
        <v>130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</row>
    <row r="25" spans="1:14" x14ac:dyDescent="0.25">
      <c r="A25" s="10" t="s">
        <v>132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</row>
    <row r="26" spans="1:14" x14ac:dyDescent="0.25">
      <c r="A26" s="10" t="s">
        <v>134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</row>
    <row r="27" spans="1:14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</row>
    <row r="28" spans="1:14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</row>
    <row r="29" spans="1:14" x14ac:dyDescent="0.25">
      <c r="A29" s="10" t="s">
        <v>140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</row>
    <row r="30" spans="1:14" x14ac:dyDescent="0.25">
      <c r="A30" s="10" t="s">
        <v>142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</row>
    <row r="31" spans="1:14" x14ac:dyDescent="0.25">
      <c r="A31" s="10" t="s">
        <v>144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</row>
    <row r="32" spans="1:14" x14ac:dyDescent="0.25">
      <c r="A32" s="10" t="s">
        <v>146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</row>
    <row r="33" spans="1:14" x14ac:dyDescent="0.25">
      <c r="A33" s="10" t="s">
        <v>148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</row>
    <row r="34" spans="1:14" x14ac:dyDescent="0.25">
      <c r="A34" s="10" t="s">
        <v>150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</row>
    <row r="35" spans="1:14" x14ac:dyDescent="0.25">
      <c r="A35" s="10" t="s">
        <v>152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</row>
    <row r="36" spans="1:14" x14ac:dyDescent="0.25">
      <c r="A36" s="10" t="s">
        <v>154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</row>
    <row r="37" spans="1:14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</row>
    <row r="38" spans="1:14" x14ac:dyDescent="0.25">
      <c r="A38" s="10" t="s">
        <v>158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</row>
    <row r="39" spans="1:14" x14ac:dyDescent="0.25">
      <c r="A39" s="10" t="s">
        <v>160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</row>
    <row r="40" spans="1:14" x14ac:dyDescent="0.25">
      <c r="A40" s="10" t="s">
        <v>162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</row>
    <row r="41" spans="1:14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</row>
    <row r="42" spans="1:14" x14ac:dyDescent="0.25">
      <c r="A42" s="10" t="s">
        <v>166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</row>
    <row r="43" spans="1:14" x14ac:dyDescent="0.25">
      <c r="A43" s="10" t="s">
        <v>168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</row>
    <row r="44" spans="1:14" x14ac:dyDescent="0.25">
      <c r="A44" s="10" t="s">
        <v>170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</row>
    <row r="45" spans="1:14" x14ac:dyDescent="0.25">
      <c r="A45" s="10" t="s">
        <v>172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</row>
    <row r="46" spans="1:14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</row>
    <row r="47" spans="1:14" x14ac:dyDescent="0.25">
      <c r="A47" s="10" t="s">
        <v>176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</row>
    <row r="48" spans="1:14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</row>
    <row r="49" spans="1:14" x14ac:dyDescent="0.25">
      <c r="A49" s="10" t="s">
        <v>180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</row>
    <row r="50" spans="1:14" x14ac:dyDescent="0.25">
      <c r="A50" s="10" t="s">
        <v>182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</row>
    <row r="51" spans="1:14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</row>
    <row r="52" spans="1:14" x14ac:dyDescent="0.25">
      <c r="A52" s="10" t="s">
        <v>186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</row>
    <row r="53" spans="1:14" x14ac:dyDescent="0.25">
      <c r="A53" s="10" t="s">
        <v>188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</row>
    <row r="54" spans="1:14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</row>
    <row r="55" spans="1:14" x14ac:dyDescent="0.25">
      <c r="A55" s="10" t="s">
        <v>192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</row>
    <row r="56" spans="1:14" x14ac:dyDescent="0.25">
      <c r="A56" s="10" t="s">
        <v>194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</row>
    <row r="57" spans="1:14" x14ac:dyDescent="0.25">
      <c r="A57" s="10" t="s">
        <v>196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</row>
    <row r="58" spans="1:14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</row>
    <row r="59" spans="1:14" x14ac:dyDescent="0.25">
      <c r="A59" s="10" t="s">
        <v>200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</row>
    <row r="60" spans="1:14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</row>
    <row r="61" spans="1:14" x14ac:dyDescent="0.25">
      <c r="A61" s="10" t="s">
        <v>204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</row>
    <row r="62" spans="1:14" x14ac:dyDescent="0.25">
      <c r="A62" s="10" t="s">
        <v>206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</row>
    <row r="63" spans="1:14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5">
      <c r="A65" s="10" t="s">
        <v>212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5">
      <c r="A66" s="10" t="s">
        <v>214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5">
      <c r="A67" s="10" t="s">
        <v>216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5">
      <c r="A70" s="10" t="s">
        <v>222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5">
      <c r="A72" s="10" t="s">
        <v>226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</row>
    <row r="75" spans="1:14" x14ac:dyDescent="0.25">
      <c r="A75" s="10" t="s">
        <v>232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>
        <v>0</v>
      </c>
    </row>
    <row r="76" spans="1:14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5">
      <c r="A77" s="10" t="s">
        <v>236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</row>
    <row r="78" spans="1:14" x14ac:dyDescent="0.25">
      <c r="A78" s="10" t="s">
        <v>238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</row>
    <row r="79" spans="1:14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</row>
    <row r="80" spans="1:14" x14ac:dyDescent="0.25">
      <c r="A80" s="10" t="s">
        <v>242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</row>
    <row r="81" spans="1:14" x14ac:dyDescent="0.25">
      <c r="A81" s="10" t="s">
        <v>244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</row>
    <row r="82" spans="1:14" x14ac:dyDescent="0.25">
      <c r="A82" s="10" t="s">
        <v>246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</row>
    <row r="83" spans="1:14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>
        <v>0</v>
      </c>
    </row>
    <row r="84" spans="1:14" x14ac:dyDescent="0.25">
      <c r="A84" s="10" t="s">
        <v>250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</row>
    <row r="85" spans="1:14" x14ac:dyDescent="0.25">
      <c r="A85" s="10" t="s">
        <v>252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</row>
    <row r="86" spans="1:14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5">
      <c r="A87" s="10" t="s">
        <v>256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  <c r="N87" s="15">
        <v>0</v>
      </c>
    </row>
    <row r="88" spans="1:14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</row>
    <row r="89" spans="1:14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>
        <v>0</v>
      </c>
    </row>
    <row r="90" spans="1:14" x14ac:dyDescent="0.25">
      <c r="A90" s="10" t="s">
        <v>262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</row>
    <row r="91" spans="1:14" x14ac:dyDescent="0.25">
      <c r="A91" s="10" t="s">
        <v>264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  <c r="N91" s="15">
        <v>0</v>
      </c>
    </row>
    <row r="92" spans="1:14" x14ac:dyDescent="0.25">
      <c r="A92" s="10" t="s">
        <v>266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</row>
    <row r="93" spans="1:14" x14ac:dyDescent="0.25">
      <c r="A93" s="10" t="s">
        <v>268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</row>
    <row r="94" spans="1:14" x14ac:dyDescent="0.25">
      <c r="A94" s="10" t="s">
        <v>270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</row>
    <row r="95" spans="1:14" x14ac:dyDescent="0.25">
      <c r="A95" s="10" t="s">
        <v>272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0</v>
      </c>
    </row>
    <row r="96" spans="1:14" x14ac:dyDescent="0.25">
      <c r="A96" s="10" t="s">
        <v>274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</row>
    <row r="97" spans="1:14" x14ac:dyDescent="0.25">
      <c r="A97" s="10" t="s">
        <v>276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</row>
    <row r="98" spans="1:14" x14ac:dyDescent="0.25">
      <c r="A98" s="10" t="s">
        <v>278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</row>
    <row r="99" spans="1:14" x14ac:dyDescent="0.25">
      <c r="A99" s="10" t="s">
        <v>280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>
        <v>0</v>
      </c>
    </row>
    <row r="100" spans="1:14" x14ac:dyDescent="0.25">
      <c r="A100" s="10" t="s">
        <v>282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</row>
    <row r="101" spans="1:14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</row>
    <row r="102" spans="1:14" x14ac:dyDescent="0.25">
      <c r="A102" s="10" t="s">
        <v>286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</row>
    <row r="103" spans="1:14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</row>
    <row r="104" spans="1:14" x14ac:dyDescent="0.25">
      <c r="A104" s="10" t="s">
        <v>290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</row>
    <row r="105" spans="1:14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</row>
    <row r="106" spans="1:14" x14ac:dyDescent="0.25">
      <c r="A106" s="10" t="s">
        <v>294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</row>
    <row r="107" spans="1:14" x14ac:dyDescent="0.25">
      <c r="A107" s="10" t="s">
        <v>296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</row>
    <row r="108" spans="1:14" x14ac:dyDescent="0.25">
      <c r="A108" s="10" t="s">
        <v>298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</row>
    <row r="109" spans="1:14" x14ac:dyDescent="0.25">
      <c r="A109" s="10" t="s">
        <v>300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</row>
    <row r="110" spans="1:14" x14ac:dyDescent="0.25">
      <c r="A110" s="10" t="s">
        <v>302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</row>
    <row r="111" spans="1:14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</row>
    <row r="112" spans="1:14" x14ac:dyDescent="0.25">
      <c r="A112" s="10" t="s">
        <v>306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</row>
    <row r="113" spans="1:14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</row>
    <row r="114" spans="1:14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</row>
    <row r="115" spans="1:14" x14ac:dyDescent="0.25">
      <c r="A115" s="10" t="s">
        <v>312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</row>
    <row r="116" spans="1:14" x14ac:dyDescent="0.25">
      <c r="A116" s="10" t="s">
        <v>314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</row>
    <row r="117" spans="1:14" x14ac:dyDescent="0.25">
      <c r="A117" s="10" t="s">
        <v>316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</row>
    <row r="118" spans="1:14" x14ac:dyDescent="0.25">
      <c r="A118" s="10" t="s">
        <v>318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</row>
    <row r="119" spans="1:14" x14ac:dyDescent="0.25">
      <c r="A119" s="10" t="s">
        <v>320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</row>
    <row r="120" spans="1:14" x14ac:dyDescent="0.25">
      <c r="A120" s="10" t="s">
        <v>322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</row>
    <row r="121" spans="1:14" x14ac:dyDescent="0.25">
      <c r="A121" s="10" t="s">
        <v>324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>
        <v>0</v>
      </c>
    </row>
    <row r="122" spans="1:14" x14ac:dyDescent="0.25">
      <c r="A122" s="10" t="s">
        <v>326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</row>
    <row r="123" spans="1:14" x14ac:dyDescent="0.25">
      <c r="A123" s="10" t="s">
        <v>328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</row>
    <row r="124" spans="1:14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</row>
    <row r="125" spans="1:14" x14ac:dyDescent="0.25">
      <c r="A125" s="10" t="s">
        <v>332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5">
      <c r="A126" s="10" t="s">
        <v>334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</row>
    <row r="127" spans="1:14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</row>
    <row r="128" spans="1:14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</row>
    <row r="129" spans="1:14" x14ac:dyDescent="0.25">
      <c r="A129" s="10" t="s">
        <v>340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</row>
    <row r="130" spans="1:14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</row>
    <row r="131" spans="1:14" x14ac:dyDescent="0.25">
      <c r="A131" s="10" t="s">
        <v>344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</row>
    <row r="132" spans="1:14" x14ac:dyDescent="0.25">
      <c r="A132" s="10" t="s">
        <v>346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</row>
    <row r="133" spans="1:14" x14ac:dyDescent="0.25">
      <c r="A133" s="10" t="s">
        <v>348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  <c r="N133" s="15">
        <v>0</v>
      </c>
    </row>
    <row r="134" spans="1:14" x14ac:dyDescent="0.25">
      <c r="A134" s="10" t="s">
        <v>350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</row>
    <row r="135" spans="1:14" x14ac:dyDescent="0.25">
      <c r="A135" s="10" t="s">
        <v>352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5">
        <v>0</v>
      </c>
    </row>
    <row r="136" spans="1:14" x14ac:dyDescent="0.25">
      <c r="A136" s="10" t="s">
        <v>354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</row>
    <row r="137" spans="1:14" x14ac:dyDescent="0.25">
      <c r="A137" s="10" t="s">
        <v>356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  <c r="N137" s="15">
        <v>0</v>
      </c>
    </row>
    <row r="138" spans="1:14" x14ac:dyDescent="0.25">
      <c r="A138" s="10" t="s">
        <v>358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</row>
    <row r="139" spans="1:14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>
        <v>0</v>
      </c>
    </row>
    <row r="140" spans="1:14" x14ac:dyDescent="0.25">
      <c r="A140" s="10" t="s">
        <v>362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</row>
    <row r="141" spans="1:14" x14ac:dyDescent="0.25">
      <c r="A141" s="10" t="s">
        <v>364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>
        <v>0</v>
      </c>
    </row>
    <row r="142" spans="1:14" x14ac:dyDescent="0.25">
      <c r="A142" s="10" t="s">
        <v>366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</row>
    <row r="143" spans="1:14" x14ac:dyDescent="0.25">
      <c r="A143" s="10" t="s">
        <v>368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</row>
    <row r="144" spans="1:14" x14ac:dyDescent="0.25">
      <c r="A144" s="10" t="s">
        <v>370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</row>
    <row r="145" spans="1:14" x14ac:dyDescent="0.25">
      <c r="A145" s="10" t="s">
        <v>372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>
        <v>0</v>
      </c>
    </row>
    <row r="146" spans="1:14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</row>
    <row r="147" spans="1:14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  <c r="N147" s="15">
        <v>0</v>
      </c>
    </row>
    <row r="148" spans="1:14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</row>
    <row r="149" spans="1:14" x14ac:dyDescent="0.25">
      <c r="A149" s="10" t="s">
        <v>380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</row>
    <row r="150" spans="1:14" x14ac:dyDescent="0.25">
      <c r="A150" s="10" t="s">
        <v>382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</row>
    <row r="151" spans="1:14" x14ac:dyDescent="0.25">
      <c r="A151" s="10" t="s">
        <v>384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</row>
    <row r="152" spans="1:14" x14ac:dyDescent="0.25">
      <c r="A152" s="10" t="s">
        <v>386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</row>
    <row r="153" spans="1:14" x14ac:dyDescent="0.25">
      <c r="A153" s="10" t="s">
        <v>388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  <c r="N153" s="15">
        <v>0</v>
      </c>
    </row>
    <row r="154" spans="1:14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</row>
    <row r="155" spans="1:14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  <c r="N155" s="15">
        <v>0</v>
      </c>
    </row>
    <row r="156" spans="1:14" x14ac:dyDescent="0.25">
      <c r="A156" s="10" t="s">
        <v>394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</row>
    <row r="157" spans="1:14" x14ac:dyDescent="0.25">
      <c r="A157" s="10" t="s">
        <v>396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  <c r="N157" s="15">
        <v>0</v>
      </c>
    </row>
    <row r="158" spans="1:14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</row>
    <row r="159" spans="1:14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</row>
    <row r="160" spans="1:14" x14ac:dyDescent="0.25">
      <c r="A160" s="10" t="s">
        <v>402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</row>
    <row r="161" spans="1:14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</row>
    <row r="162" spans="1:14" x14ac:dyDescent="0.25">
      <c r="A162" s="10" t="s">
        <v>406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</row>
    <row r="163" spans="1:14" x14ac:dyDescent="0.25">
      <c r="A163" s="10" t="s">
        <v>408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</row>
    <row r="164" spans="1:14" x14ac:dyDescent="0.25">
      <c r="A164" s="10" t="s">
        <v>410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</row>
    <row r="165" spans="1:14" x14ac:dyDescent="0.25">
      <c r="A165" s="10" t="s">
        <v>412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  <c r="N165" s="15">
        <v>0</v>
      </c>
    </row>
    <row r="166" spans="1:14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</row>
    <row r="167" spans="1:14" x14ac:dyDescent="0.25">
      <c r="A167" s="10" t="s">
        <v>416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>
        <v>0</v>
      </c>
    </row>
    <row r="168" spans="1:14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</row>
    <row r="169" spans="1:14" x14ac:dyDescent="0.25">
      <c r="A169" s="10" t="s">
        <v>420</v>
      </c>
      <c r="B169" s="15">
        <v>0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  <c r="N169" s="15">
        <v>0</v>
      </c>
    </row>
    <row r="170" spans="1:14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</row>
    <row r="171" spans="1:14" x14ac:dyDescent="0.25">
      <c r="A171" s="10" t="s">
        <v>424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>
        <v>0</v>
      </c>
    </row>
    <row r="172" spans="1:14" x14ac:dyDescent="0.25">
      <c r="A172" s="10" t="s">
        <v>426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</row>
    <row r="173" spans="1:14" x14ac:dyDescent="0.25">
      <c r="A173" s="10" t="s">
        <v>428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  <c r="N173" s="15">
        <v>0</v>
      </c>
    </row>
    <row r="174" spans="1:14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</row>
    <row r="175" spans="1:14" x14ac:dyDescent="0.25">
      <c r="A175" s="10" t="s">
        <v>432</v>
      </c>
      <c r="B175" s="15">
        <v>0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</row>
    <row r="176" spans="1:14" x14ac:dyDescent="0.25">
      <c r="A176" s="10" t="s">
        <v>434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</row>
    <row r="177" spans="1:14" x14ac:dyDescent="0.25">
      <c r="A177" s="10" t="s">
        <v>436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  <c r="N177" s="15">
        <v>0</v>
      </c>
    </row>
    <row r="178" spans="1:14" x14ac:dyDescent="0.25">
      <c r="A178" s="10" t="s">
        <v>438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</row>
    <row r="179" spans="1:14" x14ac:dyDescent="0.25">
      <c r="A179" s="10" t="s">
        <v>440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  <c r="N179" s="15">
        <v>0</v>
      </c>
    </row>
    <row r="180" spans="1:14" x14ac:dyDescent="0.25">
      <c r="A180" s="10" t="s">
        <v>442</v>
      </c>
      <c r="B180" s="15">
        <v>0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</row>
    <row r="181" spans="1:14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  <c r="N181" s="15">
        <v>0</v>
      </c>
    </row>
    <row r="182" spans="1:14" x14ac:dyDescent="0.25">
      <c r="A182" s="10" t="s">
        <v>446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</row>
    <row r="183" spans="1:14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  <c r="N183" s="15">
        <v>0</v>
      </c>
    </row>
    <row r="184" spans="1:14" x14ac:dyDescent="0.25">
      <c r="A184" s="10" t="s">
        <v>450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</row>
    <row r="185" spans="1:14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</row>
    <row r="186" spans="1:14" x14ac:dyDescent="0.25">
      <c r="A186" s="10" t="s">
        <v>454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</row>
    <row r="187" spans="1:14" x14ac:dyDescent="0.25">
      <c r="A187" s="10" t="s">
        <v>456</v>
      </c>
      <c r="B187" s="15">
        <v>0</v>
      </c>
      <c r="C187" s="15">
        <v>0</v>
      </c>
      <c r="D187" s="15">
        <v>0</v>
      </c>
      <c r="E187" s="15">
        <v>0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  <c r="N187" s="15">
        <v>0</v>
      </c>
    </row>
    <row r="188" spans="1:14" x14ac:dyDescent="0.25">
      <c r="A188" s="10" t="s">
        <v>458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</row>
    <row r="189" spans="1:14" x14ac:dyDescent="0.25">
      <c r="A189" s="10" t="s">
        <v>460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  <c r="N189" s="15">
        <v>0</v>
      </c>
    </row>
    <row r="190" spans="1:14" x14ac:dyDescent="0.25">
      <c r="A190" s="10" t="s">
        <v>462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</row>
    <row r="191" spans="1:14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  <c r="N191" s="15">
        <v>0</v>
      </c>
    </row>
    <row r="192" spans="1:14" x14ac:dyDescent="0.25">
      <c r="A192" s="10" t="s">
        <v>466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</row>
    <row r="193" spans="1:14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>
        <v>0</v>
      </c>
    </row>
    <row r="194" spans="1:14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</row>
    <row r="195" spans="1:14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  <c r="N195" s="15">
        <v>0</v>
      </c>
    </row>
    <row r="196" spans="1:14" x14ac:dyDescent="0.25">
      <c r="A196" s="10" t="s">
        <v>474</v>
      </c>
      <c r="B196" s="15">
        <v>0</v>
      </c>
      <c r="C196" s="15">
        <v>0</v>
      </c>
      <c r="D196" s="15">
        <v>0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</row>
    <row r="197" spans="1:14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0</v>
      </c>
      <c r="N197" s="15">
        <v>0</v>
      </c>
    </row>
    <row r="198" spans="1:14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</row>
    <row r="199" spans="1:14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  <c r="N199" s="15">
        <v>0</v>
      </c>
    </row>
    <row r="200" spans="1:14" x14ac:dyDescent="0.25">
      <c r="A200" s="10" t="s">
        <v>482</v>
      </c>
      <c r="B200" s="15">
        <v>0</v>
      </c>
      <c r="C200" s="15">
        <v>0</v>
      </c>
      <c r="D200" s="15">
        <v>0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</row>
    <row r="201" spans="1:14" x14ac:dyDescent="0.25">
      <c r="A201" s="10" t="s">
        <v>484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  <c r="N201" s="15">
        <v>0</v>
      </c>
    </row>
    <row r="202" spans="1:14" x14ac:dyDescent="0.25">
      <c r="A202" s="10" t="s">
        <v>486</v>
      </c>
      <c r="B202" s="15">
        <v>0</v>
      </c>
      <c r="C202" s="15">
        <v>0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</row>
    <row r="203" spans="1:14" x14ac:dyDescent="0.25">
      <c r="A203" s="10" t="s">
        <v>488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0</v>
      </c>
    </row>
    <row r="204" spans="1:14" x14ac:dyDescent="0.25">
      <c r="A204" s="10" t="s">
        <v>490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</row>
    <row r="205" spans="1:14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  <c r="N205" s="15">
        <v>0</v>
      </c>
    </row>
    <row r="206" spans="1:14" x14ac:dyDescent="0.25">
      <c r="A206" s="10" t="s">
        <v>494</v>
      </c>
      <c r="B206" s="15">
        <v>0</v>
      </c>
      <c r="C206" s="15">
        <v>0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</row>
    <row r="207" spans="1:14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  <c r="N207" s="15">
        <v>0</v>
      </c>
    </row>
    <row r="208" spans="1:14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</row>
    <row r="209" spans="1:14" x14ac:dyDescent="0.25">
      <c r="A209" s="10" t="s">
        <v>500</v>
      </c>
      <c r="B209" s="15">
        <v>0</v>
      </c>
      <c r="C209" s="15">
        <v>0</v>
      </c>
      <c r="D209" s="15">
        <v>0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  <c r="N209" s="15">
        <v>0</v>
      </c>
    </row>
    <row r="210" spans="1:14" x14ac:dyDescent="0.25">
      <c r="A210" s="10" t="s">
        <v>502</v>
      </c>
      <c r="B210" s="15">
        <v>0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</row>
    <row r="211" spans="1:14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0</v>
      </c>
      <c r="J211" s="15">
        <v>0</v>
      </c>
      <c r="K211" s="15">
        <v>0</v>
      </c>
      <c r="L211" s="15">
        <v>0</v>
      </c>
      <c r="M211" s="15">
        <v>0</v>
      </c>
      <c r="N211" s="15">
        <v>0</v>
      </c>
    </row>
    <row r="212" spans="1:14" x14ac:dyDescent="0.25">
      <c r="A212" s="10" t="s">
        <v>506</v>
      </c>
      <c r="B212" s="15">
        <v>0</v>
      </c>
      <c r="C212" s="15">
        <v>0</v>
      </c>
      <c r="D212" s="15">
        <v>0</v>
      </c>
      <c r="E212" s="15">
        <v>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</row>
    <row r="213" spans="1:14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  <c r="N213" s="15">
        <v>0</v>
      </c>
    </row>
    <row r="214" spans="1:14" x14ac:dyDescent="0.25">
      <c r="A214" s="10" t="s">
        <v>510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</row>
    <row r="215" spans="1:14" x14ac:dyDescent="0.25">
      <c r="A215" s="10" t="s">
        <v>512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7"/>
  <dimension ref="A1:N428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</row>
    <row r="4" spans="1:14" x14ac:dyDescent="0.25">
      <c r="A4" s="10" t="s">
        <v>88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</row>
    <row r="5" spans="1:14" x14ac:dyDescent="0.25">
      <c r="A5" s="10" t="s">
        <v>90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</row>
    <row r="6" spans="1:14" x14ac:dyDescent="0.25">
      <c r="A6" s="10" t="s">
        <v>90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</row>
    <row r="7" spans="1:14" x14ac:dyDescent="0.25">
      <c r="A7" s="10" t="s">
        <v>92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</row>
    <row r="8" spans="1:14" x14ac:dyDescent="0.25">
      <c r="A8" s="10" t="s">
        <v>92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</row>
    <row r="9" spans="1:14" x14ac:dyDescent="0.25">
      <c r="A9" s="10" t="s">
        <v>94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</row>
    <row r="10" spans="1:14" x14ac:dyDescent="0.25">
      <c r="A10" s="10" t="s">
        <v>94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</row>
    <row r="11" spans="1:14" x14ac:dyDescent="0.25">
      <c r="A11" s="10" t="s">
        <v>96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25">
      <c r="A12" s="10" t="s">
        <v>96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25">
      <c r="A13" s="10" t="s">
        <v>98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10" t="s">
        <v>98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10" t="s">
        <v>100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</row>
    <row r="16" spans="1:14" x14ac:dyDescent="0.25">
      <c r="A16" s="10" t="s">
        <v>100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</row>
    <row r="17" spans="1:14" x14ac:dyDescent="0.25">
      <c r="A17" s="10" t="s">
        <v>102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</row>
    <row r="18" spans="1:14" x14ac:dyDescent="0.25">
      <c r="A18" s="10" t="s">
        <v>102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10" t="s">
        <v>104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</row>
    <row r="20" spans="1:14" x14ac:dyDescent="0.25">
      <c r="A20" s="10" t="s">
        <v>104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</row>
    <row r="21" spans="1:14" x14ac:dyDescent="0.25">
      <c r="A21" s="10" t="s">
        <v>106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</row>
    <row r="22" spans="1:14" x14ac:dyDescent="0.25">
      <c r="A22" s="10" t="s">
        <v>106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</row>
    <row r="23" spans="1:14" x14ac:dyDescent="0.25">
      <c r="A23" s="10" t="s">
        <v>108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</row>
    <row r="24" spans="1:14" x14ac:dyDescent="0.25">
      <c r="A24" s="10" t="s">
        <v>108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</row>
    <row r="25" spans="1:14" x14ac:dyDescent="0.25">
      <c r="A25" s="10" t="s">
        <v>110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</row>
    <row r="26" spans="1:14" x14ac:dyDescent="0.25">
      <c r="A26" s="10" t="s">
        <v>110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</row>
    <row r="27" spans="1:14" x14ac:dyDescent="0.25">
      <c r="A27" s="10" t="s">
        <v>112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</row>
    <row r="28" spans="1:14" x14ac:dyDescent="0.25">
      <c r="A28" s="10" t="s">
        <v>112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</row>
    <row r="29" spans="1:14" x14ac:dyDescent="0.25">
      <c r="A29" s="10" t="s">
        <v>114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</row>
    <row r="30" spans="1:14" x14ac:dyDescent="0.25">
      <c r="A30" s="10" t="s">
        <v>114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</row>
    <row r="31" spans="1:14" x14ac:dyDescent="0.25">
      <c r="A31" s="10" t="s">
        <v>116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</row>
    <row r="32" spans="1:14" x14ac:dyDescent="0.25">
      <c r="A32" s="10" t="s">
        <v>116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</row>
    <row r="33" spans="1:14" x14ac:dyDescent="0.25">
      <c r="A33" s="10" t="s">
        <v>118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</row>
    <row r="34" spans="1:14" x14ac:dyDescent="0.25">
      <c r="A34" s="10" t="s">
        <v>118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</row>
    <row r="35" spans="1:14" x14ac:dyDescent="0.25">
      <c r="A35" s="10" t="s">
        <v>120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</row>
    <row r="36" spans="1:14" x14ac:dyDescent="0.25">
      <c r="A36" s="10" t="s">
        <v>120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</row>
    <row r="37" spans="1:14" x14ac:dyDescent="0.25">
      <c r="A37" s="10" t="s">
        <v>122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</row>
    <row r="38" spans="1:14" x14ac:dyDescent="0.25">
      <c r="A38" s="10" t="s">
        <v>122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</row>
    <row r="39" spans="1:14" x14ac:dyDescent="0.25">
      <c r="A39" s="10" t="s">
        <v>124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</row>
    <row r="40" spans="1:14" x14ac:dyDescent="0.25">
      <c r="A40" s="10" t="s">
        <v>124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</row>
    <row r="41" spans="1:14" x14ac:dyDescent="0.25">
      <c r="A41" s="10" t="s">
        <v>126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</row>
    <row r="42" spans="1:14" x14ac:dyDescent="0.25">
      <c r="A42" s="10" t="s">
        <v>126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</row>
    <row r="43" spans="1:14" x14ac:dyDescent="0.25">
      <c r="A43" s="10" t="s">
        <v>128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</row>
    <row r="44" spans="1:14" x14ac:dyDescent="0.25">
      <c r="A44" s="10" t="s">
        <v>128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</row>
    <row r="45" spans="1:14" x14ac:dyDescent="0.25">
      <c r="A45" s="10" t="s">
        <v>130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</row>
    <row r="46" spans="1:14" x14ac:dyDescent="0.25">
      <c r="A46" s="10" t="s">
        <v>130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</row>
    <row r="47" spans="1:14" x14ac:dyDescent="0.25">
      <c r="A47" s="10" t="s">
        <v>132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</row>
    <row r="48" spans="1:14" x14ac:dyDescent="0.25">
      <c r="A48" s="10" t="s">
        <v>132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</row>
    <row r="49" spans="1:14" x14ac:dyDescent="0.25">
      <c r="A49" s="10" t="s">
        <v>134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</row>
    <row r="50" spans="1:14" x14ac:dyDescent="0.25">
      <c r="A50" s="10" t="s">
        <v>134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</row>
    <row r="51" spans="1:14" x14ac:dyDescent="0.25">
      <c r="A51" s="10" t="s">
        <v>136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</row>
    <row r="52" spans="1:14" x14ac:dyDescent="0.25">
      <c r="A52" s="10" t="s">
        <v>136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</row>
    <row r="53" spans="1:14" x14ac:dyDescent="0.25">
      <c r="A53" s="10" t="s">
        <v>138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</row>
    <row r="54" spans="1:14" x14ac:dyDescent="0.25">
      <c r="A54" s="10" t="s">
        <v>138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</row>
    <row r="55" spans="1:14" x14ac:dyDescent="0.25">
      <c r="A55" s="10" t="s">
        <v>140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</row>
    <row r="56" spans="1:14" x14ac:dyDescent="0.25">
      <c r="A56" s="10" t="s">
        <v>140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</row>
    <row r="57" spans="1:14" x14ac:dyDescent="0.25">
      <c r="A57" s="10" t="s">
        <v>142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</row>
    <row r="58" spans="1:14" x14ac:dyDescent="0.25">
      <c r="A58" s="10" t="s">
        <v>142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</row>
    <row r="59" spans="1:14" x14ac:dyDescent="0.25">
      <c r="A59" s="10" t="s">
        <v>144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</row>
    <row r="60" spans="1:14" x14ac:dyDescent="0.25">
      <c r="A60" s="10" t="s">
        <v>144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</row>
    <row r="61" spans="1:14" x14ac:dyDescent="0.25">
      <c r="A61" s="10" t="s">
        <v>146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</row>
    <row r="62" spans="1:14" x14ac:dyDescent="0.25">
      <c r="A62" s="10" t="s">
        <v>146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</row>
    <row r="63" spans="1:14" x14ac:dyDescent="0.25">
      <c r="A63" s="10" t="s">
        <v>148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5">
      <c r="A64" s="10" t="s">
        <v>148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5">
      <c r="A65" s="10" t="s">
        <v>150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5">
      <c r="A66" s="10" t="s">
        <v>150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5">
      <c r="A67" s="10" t="s">
        <v>152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5">
      <c r="A68" s="10" t="s">
        <v>152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5">
      <c r="A69" s="10" t="s">
        <v>154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5">
      <c r="A70" s="10" t="s">
        <v>154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5">
      <c r="A71" s="10" t="s">
        <v>156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5">
      <c r="A72" s="10" t="s">
        <v>156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5">
      <c r="A73" s="10" t="s">
        <v>158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5">
      <c r="A74" s="10" t="s">
        <v>158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</row>
    <row r="75" spans="1:14" x14ac:dyDescent="0.25">
      <c r="A75" s="10" t="s">
        <v>160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>
        <v>0</v>
      </c>
    </row>
    <row r="76" spans="1:14" x14ac:dyDescent="0.25">
      <c r="A76" s="10" t="s">
        <v>160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5">
      <c r="A77" s="10" t="s">
        <v>162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</row>
    <row r="78" spans="1:14" x14ac:dyDescent="0.25">
      <c r="A78" s="10" t="s">
        <v>162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</row>
    <row r="79" spans="1:14" x14ac:dyDescent="0.25">
      <c r="A79" s="10" t="s">
        <v>164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</row>
    <row r="80" spans="1:14" x14ac:dyDescent="0.25">
      <c r="A80" s="10" t="s">
        <v>164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</row>
    <row r="81" spans="1:14" x14ac:dyDescent="0.25">
      <c r="A81" s="10" t="s">
        <v>166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</row>
    <row r="82" spans="1:14" x14ac:dyDescent="0.25">
      <c r="A82" s="10" t="s">
        <v>166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</row>
    <row r="83" spans="1:14" x14ac:dyDescent="0.25">
      <c r="A83" s="10" t="s">
        <v>168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>
        <v>0</v>
      </c>
    </row>
    <row r="84" spans="1:14" x14ac:dyDescent="0.25">
      <c r="A84" s="10" t="s">
        <v>168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</row>
    <row r="85" spans="1:14" x14ac:dyDescent="0.25">
      <c r="A85" s="10" t="s">
        <v>170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</row>
    <row r="86" spans="1:14" x14ac:dyDescent="0.25">
      <c r="A86" s="10" t="s">
        <v>170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5">
      <c r="A87" s="10" t="s">
        <v>172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  <c r="N87" s="15">
        <v>0</v>
      </c>
    </row>
    <row r="88" spans="1:14" x14ac:dyDescent="0.25">
      <c r="A88" s="10" t="s">
        <v>172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</row>
    <row r="89" spans="1:14" x14ac:dyDescent="0.25">
      <c r="A89" s="10" t="s">
        <v>174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>
        <v>0</v>
      </c>
    </row>
    <row r="90" spans="1:14" x14ac:dyDescent="0.25">
      <c r="A90" s="10" t="s">
        <v>174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</row>
    <row r="91" spans="1:14" x14ac:dyDescent="0.25">
      <c r="A91" s="10" t="s">
        <v>176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  <c r="N91" s="15">
        <v>0</v>
      </c>
    </row>
    <row r="92" spans="1:14" x14ac:dyDescent="0.25">
      <c r="A92" s="10" t="s">
        <v>176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</row>
    <row r="93" spans="1:14" x14ac:dyDescent="0.25">
      <c r="A93" s="10" t="s">
        <v>178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</row>
    <row r="94" spans="1:14" x14ac:dyDescent="0.25">
      <c r="A94" s="10" t="s">
        <v>178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</row>
    <row r="95" spans="1:14" x14ac:dyDescent="0.25">
      <c r="A95" s="10" t="s">
        <v>180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0</v>
      </c>
    </row>
    <row r="96" spans="1:14" x14ac:dyDescent="0.25">
      <c r="A96" s="10" t="s">
        <v>180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</row>
    <row r="97" spans="1:14" x14ac:dyDescent="0.25">
      <c r="A97" s="10" t="s">
        <v>182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</row>
    <row r="98" spans="1:14" x14ac:dyDescent="0.25">
      <c r="A98" s="10" t="s">
        <v>182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</row>
    <row r="99" spans="1:14" x14ac:dyDescent="0.25">
      <c r="A99" s="10" t="s">
        <v>184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>
        <v>0</v>
      </c>
    </row>
    <row r="100" spans="1:14" x14ac:dyDescent="0.25">
      <c r="A100" s="10" t="s">
        <v>184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</row>
    <row r="101" spans="1:14" x14ac:dyDescent="0.25">
      <c r="A101" s="10" t="s">
        <v>186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</row>
    <row r="102" spans="1:14" x14ac:dyDescent="0.25">
      <c r="A102" s="10" t="s">
        <v>186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</row>
    <row r="103" spans="1:14" x14ac:dyDescent="0.25">
      <c r="A103" s="10" t="s">
        <v>188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</row>
    <row r="104" spans="1:14" x14ac:dyDescent="0.25">
      <c r="A104" s="10" t="s">
        <v>188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</row>
    <row r="105" spans="1:14" x14ac:dyDescent="0.25">
      <c r="A105" s="10" t="s">
        <v>190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</row>
    <row r="106" spans="1:14" x14ac:dyDescent="0.25">
      <c r="A106" s="10" t="s">
        <v>190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</row>
    <row r="107" spans="1:14" x14ac:dyDescent="0.25">
      <c r="A107" s="10" t="s">
        <v>192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</row>
    <row r="108" spans="1:14" x14ac:dyDescent="0.25">
      <c r="A108" s="10" t="s">
        <v>192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</row>
    <row r="109" spans="1:14" x14ac:dyDescent="0.25">
      <c r="A109" s="10" t="s">
        <v>194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</row>
    <row r="110" spans="1:14" x14ac:dyDescent="0.25">
      <c r="A110" s="10" t="s">
        <v>194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</row>
    <row r="111" spans="1:14" x14ac:dyDescent="0.25">
      <c r="A111" s="10" t="s">
        <v>196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</row>
    <row r="112" spans="1:14" x14ac:dyDescent="0.25">
      <c r="A112" s="10" t="s">
        <v>196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</row>
    <row r="113" spans="1:14" x14ac:dyDescent="0.25">
      <c r="A113" s="10" t="s">
        <v>198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</row>
    <row r="114" spans="1:14" x14ac:dyDescent="0.25">
      <c r="A114" s="10" t="s">
        <v>198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</row>
    <row r="115" spans="1:14" x14ac:dyDescent="0.25">
      <c r="A115" s="10" t="s">
        <v>200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</row>
    <row r="116" spans="1:14" x14ac:dyDescent="0.25">
      <c r="A116" s="10" t="s">
        <v>200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</row>
    <row r="117" spans="1:14" x14ac:dyDescent="0.25">
      <c r="A117" s="10" t="s">
        <v>202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</row>
    <row r="118" spans="1:14" x14ac:dyDescent="0.25">
      <c r="A118" s="10" t="s">
        <v>202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</row>
    <row r="119" spans="1:14" x14ac:dyDescent="0.25">
      <c r="A119" s="10" t="s">
        <v>204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</row>
    <row r="120" spans="1:14" x14ac:dyDescent="0.25">
      <c r="A120" s="10" t="s">
        <v>204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</row>
    <row r="121" spans="1:14" x14ac:dyDescent="0.25">
      <c r="A121" s="10" t="s">
        <v>206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>
        <v>0</v>
      </c>
    </row>
    <row r="122" spans="1:14" x14ac:dyDescent="0.25">
      <c r="A122" s="10" t="s">
        <v>206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</row>
    <row r="123" spans="1:14" x14ac:dyDescent="0.25">
      <c r="A123" s="10" t="s">
        <v>208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</row>
    <row r="124" spans="1:14" x14ac:dyDescent="0.25">
      <c r="A124" s="10" t="s">
        <v>208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</row>
    <row r="125" spans="1:14" x14ac:dyDescent="0.25">
      <c r="A125" s="10" t="s">
        <v>210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5">
      <c r="A126" s="10" t="s">
        <v>210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</row>
    <row r="127" spans="1:14" x14ac:dyDescent="0.25">
      <c r="A127" s="10" t="s">
        <v>212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</row>
    <row r="128" spans="1:14" x14ac:dyDescent="0.25">
      <c r="A128" s="10" t="s">
        <v>212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</row>
    <row r="129" spans="1:14" x14ac:dyDescent="0.25">
      <c r="A129" s="10" t="s">
        <v>214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</row>
    <row r="130" spans="1:14" x14ac:dyDescent="0.25">
      <c r="A130" s="10" t="s">
        <v>214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</row>
    <row r="131" spans="1:14" x14ac:dyDescent="0.25">
      <c r="A131" s="10" t="s">
        <v>216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</row>
    <row r="132" spans="1:14" x14ac:dyDescent="0.25">
      <c r="A132" s="10" t="s">
        <v>216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</row>
    <row r="133" spans="1:14" x14ac:dyDescent="0.25">
      <c r="A133" s="10" t="s">
        <v>218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  <c r="N133" s="15">
        <v>0</v>
      </c>
    </row>
    <row r="134" spans="1:14" x14ac:dyDescent="0.25">
      <c r="A134" s="10" t="s">
        <v>218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</row>
    <row r="135" spans="1:14" x14ac:dyDescent="0.25">
      <c r="A135" s="10" t="s">
        <v>220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5">
        <v>0</v>
      </c>
    </row>
    <row r="136" spans="1:14" x14ac:dyDescent="0.25">
      <c r="A136" s="10" t="s">
        <v>220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</row>
    <row r="137" spans="1:14" x14ac:dyDescent="0.25">
      <c r="A137" s="10" t="s">
        <v>222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  <c r="N137" s="15">
        <v>0</v>
      </c>
    </row>
    <row r="138" spans="1:14" x14ac:dyDescent="0.25">
      <c r="A138" s="10" t="s">
        <v>222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</row>
    <row r="139" spans="1:14" x14ac:dyDescent="0.25">
      <c r="A139" s="10" t="s">
        <v>224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>
        <v>0</v>
      </c>
    </row>
    <row r="140" spans="1:14" x14ac:dyDescent="0.25">
      <c r="A140" s="10" t="s">
        <v>224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</row>
    <row r="141" spans="1:14" x14ac:dyDescent="0.25">
      <c r="A141" s="10" t="s">
        <v>226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>
        <v>0</v>
      </c>
    </row>
    <row r="142" spans="1:14" x14ac:dyDescent="0.25">
      <c r="A142" s="10" t="s">
        <v>226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</row>
    <row r="143" spans="1:14" x14ac:dyDescent="0.25">
      <c r="A143" s="10" t="s">
        <v>228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</row>
    <row r="144" spans="1:14" x14ac:dyDescent="0.25">
      <c r="A144" s="10" t="s">
        <v>228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</row>
    <row r="145" spans="1:14" x14ac:dyDescent="0.25">
      <c r="A145" s="10" t="s">
        <v>230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>
        <v>0</v>
      </c>
    </row>
    <row r="146" spans="1:14" x14ac:dyDescent="0.25">
      <c r="A146" s="10" t="s">
        <v>230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</row>
    <row r="147" spans="1:14" x14ac:dyDescent="0.25">
      <c r="A147" s="10" t="s">
        <v>232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  <c r="N147" s="15">
        <v>0</v>
      </c>
    </row>
    <row r="148" spans="1:14" x14ac:dyDescent="0.25">
      <c r="A148" s="10" t="s">
        <v>232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</row>
    <row r="149" spans="1:14" x14ac:dyDescent="0.25">
      <c r="A149" s="10" t="s">
        <v>234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</row>
    <row r="150" spans="1:14" x14ac:dyDescent="0.25">
      <c r="A150" s="10" t="s">
        <v>234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</row>
    <row r="151" spans="1:14" x14ac:dyDescent="0.25">
      <c r="A151" s="10" t="s">
        <v>236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</row>
    <row r="152" spans="1:14" x14ac:dyDescent="0.25">
      <c r="A152" s="10" t="s">
        <v>236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</row>
    <row r="153" spans="1:14" x14ac:dyDescent="0.25">
      <c r="A153" s="10" t="s">
        <v>238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  <c r="N153" s="15">
        <v>0</v>
      </c>
    </row>
    <row r="154" spans="1:14" x14ac:dyDescent="0.25">
      <c r="A154" s="10" t="s">
        <v>238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</row>
    <row r="155" spans="1:14" x14ac:dyDescent="0.25">
      <c r="A155" s="10" t="s">
        <v>240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  <c r="N155" s="15">
        <v>0</v>
      </c>
    </row>
    <row r="156" spans="1:14" x14ac:dyDescent="0.25">
      <c r="A156" s="10" t="s">
        <v>240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</row>
    <row r="157" spans="1:14" x14ac:dyDescent="0.25">
      <c r="A157" s="10" t="s">
        <v>242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  <c r="N157" s="15">
        <v>0</v>
      </c>
    </row>
    <row r="158" spans="1:14" x14ac:dyDescent="0.25">
      <c r="A158" s="10" t="s">
        <v>242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</row>
    <row r="159" spans="1:14" x14ac:dyDescent="0.25">
      <c r="A159" s="10" t="s">
        <v>244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</row>
    <row r="160" spans="1:14" x14ac:dyDescent="0.25">
      <c r="A160" s="10" t="s">
        <v>244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</row>
    <row r="161" spans="1:14" x14ac:dyDescent="0.25">
      <c r="A161" s="10" t="s">
        <v>246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</row>
    <row r="162" spans="1:14" x14ac:dyDescent="0.25">
      <c r="A162" s="10" t="s">
        <v>246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</row>
    <row r="163" spans="1:14" x14ac:dyDescent="0.25">
      <c r="A163" s="10" t="s">
        <v>248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</row>
    <row r="164" spans="1:14" x14ac:dyDescent="0.25">
      <c r="A164" s="10" t="s">
        <v>248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</row>
    <row r="165" spans="1:14" x14ac:dyDescent="0.25">
      <c r="A165" s="10" t="s">
        <v>250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  <c r="N165" s="15">
        <v>0</v>
      </c>
    </row>
    <row r="166" spans="1:14" x14ac:dyDescent="0.25">
      <c r="A166" s="10" t="s">
        <v>250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</row>
    <row r="167" spans="1:14" x14ac:dyDescent="0.25">
      <c r="A167" s="10" t="s">
        <v>252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>
        <v>0</v>
      </c>
    </row>
    <row r="168" spans="1:14" x14ac:dyDescent="0.25">
      <c r="A168" s="10" t="s">
        <v>252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</row>
    <row r="169" spans="1:14" x14ac:dyDescent="0.25">
      <c r="A169" s="10" t="s">
        <v>254</v>
      </c>
      <c r="B169" s="15">
        <v>0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  <c r="N169" s="15">
        <v>0</v>
      </c>
    </row>
    <row r="170" spans="1:14" x14ac:dyDescent="0.25">
      <c r="A170" s="10" t="s">
        <v>254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</row>
    <row r="171" spans="1:14" x14ac:dyDescent="0.25">
      <c r="A171" s="10" t="s">
        <v>256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>
        <v>0</v>
      </c>
    </row>
    <row r="172" spans="1:14" x14ac:dyDescent="0.25">
      <c r="A172" s="10" t="s">
        <v>256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</row>
    <row r="173" spans="1:14" x14ac:dyDescent="0.25">
      <c r="A173" s="10" t="s">
        <v>258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  <c r="N173" s="15">
        <v>0</v>
      </c>
    </row>
    <row r="174" spans="1:14" x14ac:dyDescent="0.25">
      <c r="A174" s="10" t="s">
        <v>258</v>
      </c>
      <c r="B174" s="15">
        <v>0</v>
      </c>
      <c r="C174" s="15">
        <v>0</v>
      </c>
      <c r="D174" s="15">
        <v>0</v>
      </c>
      <c r="E174" s="15">
        <v>0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</row>
    <row r="175" spans="1:14" x14ac:dyDescent="0.25">
      <c r="A175" s="10" t="s">
        <v>260</v>
      </c>
      <c r="B175" s="15">
        <v>0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</row>
    <row r="176" spans="1:14" x14ac:dyDescent="0.25">
      <c r="A176" s="10" t="s">
        <v>260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</row>
    <row r="177" spans="1:14" x14ac:dyDescent="0.25">
      <c r="A177" s="10" t="s">
        <v>262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  <c r="N177" s="15">
        <v>0</v>
      </c>
    </row>
    <row r="178" spans="1:14" x14ac:dyDescent="0.25">
      <c r="A178" s="10" t="s">
        <v>262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</row>
    <row r="179" spans="1:14" x14ac:dyDescent="0.25">
      <c r="A179" s="10" t="s">
        <v>264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  <c r="N179" s="15">
        <v>0</v>
      </c>
    </row>
    <row r="180" spans="1:14" x14ac:dyDescent="0.25">
      <c r="A180" s="10" t="s">
        <v>264</v>
      </c>
      <c r="B180" s="15">
        <v>0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</row>
    <row r="181" spans="1:14" x14ac:dyDescent="0.25">
      <c r="A181" s="10" t="s">
        <v>266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  <c r="N181" s="15">
        <v>0</v>
      </c>
    </row>
    <row r="182" spans="1:14" x14ac:dyDescent="0.25">
      <c r="A182" s="10" t="s">
        <v>266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</row>
    <row r="183" spans="1:14" x14ac:dyDescent="0.25">
      <c r="A183" s="10" t="s">
        <v>268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  <c r="N183" s="15">
        <v>0</v>
      </c>
    </row>
    <row r="184" spans="1:14" x14ac:dyDescent="0.25">
      <c r="A184" s="10" t="s">
        <v>268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</row>
    <row r="185" spans="1:14" x14ac:dyDescent="0.25">
      <c r="A185" s="10" t="s">
        <v>270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</row>
    <row r="186" spans="1:14" x14ac:dyDescent="0.25">
      <c r="A186" s="10" t="s">
        <v>270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</row>
    <row r="187" spans="1:14" x14ac:dyDescent="0.25">
      <c r="A187" s="10" t="s">
        <v>272</v>
      </c>
      <c r="B187" s="15">
        <v>0</v>
      </c>
      <c r="C187" s="15">
        <v>0</v>
      </c>
      <c r="D187" s="15">
        <v>0</v>
      </c>
      <c r="E187" s="15">
        <v>0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  <c r="N187" s="15">
        <v>0</v>
      </c>
    </row>
    <row r="188" spans="1:14" x14ac:dyDescent="0.25">
      <c r="A188" s="10" t="s">
        <v>272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</row>
    <row r="189" spans="1:14" x14ac:dyDescent="0.25">
      <c r="A189" s="10" t="s">
        <v>274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  <c r="N189" s="15">
        <v>0</v>
      </c>
    </row>
    <row r="190" spans="1:14" x14ac:dyDescent="0.25">
      <c r="A190" s="10" t="s">
        <v>274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</row>
    <row r="191" spans="1:14" x14ac:dyDescent="0.25">
      <c r="A191" s="10" t="s">
        <v>276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  <c r="N191" s="15">
        <v>0</v>
      </c>
    </row>
    <row r="192" spans="1:14" x14ac:dyDescent="0.25">
      <c r="A192" s="10" t="s">
        <v>276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</row>
    <row r="193" spans="1:14" x14ac:dyDescent="0.25">
      <c r="A193" s="10" t="s">
        <v>278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>
        <v>0</v>
      </c>
    </row>
    <row r="194" spans="1:14" x14ac:dyDescent="0.25">
      <c r="A194" s="10" t="s">
        <v>278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</row>
    <row r="195" spans="1:14" x14ac:dyDescent="0.25">
      <c r="A195" s="10" t="s">
        <v>280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  <c r="N195" s="15">
        <v>0</v>
      </c>
    </row>
    <row r="196" spans="1:14" x14ac:dyDescent="0.25">
      <c r="A196" s="10" t="s">
        <v>280</v>
      </c>
      <c r="B196" s="15">
        <v>0</v>
      </c>
      <c r="C196" s="15">
        <v>0</v>
      </c>
      <c r="D196" s="15">
        <v>0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</row>
    <row r="197" spans="1:14" x14ac:dyDescent="0.25">
      <c r="A197" s="10" t="s">
        <v>282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0</v>
      </c>
      <c r="N197" s="15">
        <v>0</v>
      </c>
    </row>
    <row r="198" spans="1:14" x14ac:dyDescent="0.25">
      <c r="A198" s="10" t="s">
        <v>282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</row>
    <row r="199" spans="1:14" x14ac:dyDescent="0.25">
      <c r="A199" s="10" t="s">
        <v>284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  <c r="N199" s="15">
        <v>0</v>
      </c>
    </row>
    <row r="200" spans="1:14" x14ac:dyDescent="0.25">
      <c r="A200" s="10" t="s">
        <v>284</v>
      </c>
      <c r="B200" s="15">
        <v>0</v>
      </c>
      <c r="C200" s="15">
        <v>0</v>
      </c>
      <c r="D200" s="15">
        <v>0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</row>
    <row r="201" spans="1:14" x14ac:dyDescent="0.25">
      <c r="A201" s="10" t="s">
        <v>286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  <c r="N201" s="15">
        <v>0</v>
      </c>
    </row>
    <row r="202" spans="1:14" x14ac:dyDescent="0.25">
      <c r="A202" s="10" t="s">
        <v>286</v>
      </c>
      <c r="B202" s="15">
        <v>0</v>
      </c>
      <c r="C202" s="15">
        <v>0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</row>
    <row r="203" spans="1:14" x14ac:dyDescent="0.25">
      <c r="A203" s="10" t="s">
        <v>288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0</v>
      </c>
    </row>
    <row r="204" spans="1:14" x14ac:dyDescent="0.25">
      <c r="A204" s="10" t="s">
        <v>288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</row>
    <row r="205" spans="1:14" x14ac:dyDescent="0.25">
      <c r="A205" s="10" t="s">
        <v>290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  <c r="N205" s="15">
        <v>0</v>
      </c>
    </row>
    <row r="206" spans="1:14" x14ac:dyDescent="0.25">
      <c r="A206" s="10" t="s">
        <v>290</v>
      </c>
      <c r="B206" s="15">
        <v>0</v>
      </c>
      <c r="C206" s="15">
        <v>0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</row>
    <row r="207" spans="1:14" x14ac:dyDescent="0.25">
      <c r="A207" s="10" t="s">
        <v>292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  <c r="N207" s="15">
        <v>0</v>
      </c>
    </row>
    <row r="208" spans="1:14" x14ac:dyDescent="0.25">
      <c r="A208" s="10" t="s">
        <v>292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</row>
    <row r="209" spans="1:14" x14ac:dyDescent="0.25">
      <c r="A209" s="10" t="s">
        <v>294</v>
      </c>
      <c r="B209" s="15">
        <v>0</v>
      </c>
      <c r="C209" s="15">
        <v>0</v>
      </c>
      <c r="D209" s="15">
        <v>0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  <c r="N209" s="15">
        <v>0</v>
      </c>
    </row>
    <row r="210" spans="1:14" x14ac:dyDescent="0.25">
      <c r="A210" s="10" t="s">
        <v>294</v>
      </c>
      <c r="B210" s="15">
        <v>0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</row>
    <row r="211" spans="1:14" x14ac:dyDescent="0.25">
      <c r="A211" s="10" t="s">
        <v>296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0</v>
      </c>
      <c r="J211" s="15">
        <v>0</v>
      </c>
      <c r="K211" s="15">
        <v>0</v>
      </c>
      <c r="L211" s="15">
        <v>0</v>
      </c>
      <c r="M211" s="15">
        <v>0</v>
      </c>
      <c r="N211" s="15">
        <v>0</v>
      </c>
    </row>
    <row r="212" spans="1:14" x14ac:dyDescent="0.25">
      <c r="A212" s="10" t="s">
        <v>296</v>
      </c>
      <c r="B212" s="15">
        <v>0</v>
      </c>
      <c r="C212" s="15">
        <v>0</v>
      </c>
      <c r="D212" s="15">
        <v>0</v>
      </c>
      <c r="E212" s="15">
        <v>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</row>
    <row r="213" spans="1:14" x14ac:dyDescent="0.25">
      <c r="A213" s="10" t="s">
        <v>298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  <c r="N213" s="15">
        <v>0</v>
      </c>
    </row>
    <row r="214" spans="1:14" x14ac:dyDescent="0.25">
      <c r="A214" s="10" t="s">
        <v>298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</row>
    <row r="215" spans="1:14" x14ac:dyDescent="0.25">
      <c r="A215" s="10" t="s">
        <v>300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>
        <v>0</v>
      </c>
    </row>
    <row r="216" spans="1:14" x14ac:dyDescent="0.25">
      <c r="A216" s="10" t="s">
        <v>300</v>
      </c>
      <c r="B216" s="15">
        <v>0</v>
      </c>
      <c r="C216" s="15">
        <v>0</v>
      </c>
      <c r="D216" s="15">
        <v>0</v>
      </c>
      <c r="E216" s="15">
        <v>0</v>
      </c>
      <c r="F216" s="15">
        <v>0</v>
      </c>
      <c r="G216" s="15">
        <v>0</v>
      </c>
      <c r="H216" s="15">
        <v>0</v>
      </c>
      <c r="I216" s="15">
        <v>0</v>
      </c>
      <c r="J216" s="15">
        <v>0</v>
      </c>
      <c r="K216" s="15">
        <v>0</v>
      </c>
      <c r="L216" s="15">
        <v>0</v>
      </c>
      <c r="M216" s="15">
        <v>0</v>
      </c>
      <c r="N216" s="15">
        <v>0</v>
      </c>
    </row>
    <row r="217" spans="1:14" x14ac:dyDescent="0.25">
      <c r="A217" s="10" t="s">
        <v>302</v>
      </c>
      <c r="B217" s="15">
        <v>0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0</v>
      </c>
    </row>
    <row r="218" spans="1:14" x14ac:dyDescent="0.25">
      <c r="A218" s="10" t="s">
        <v>302</v>
      </c>
      <c r="B218" s="15">
        <v>0</v>
      </c>
      <c r="C218" s="15">
        <v>0</v>
      </c>
      <c r="D218" s="15">
        <v>0</v>
      </c>
      <c r="E218" s="15">
        <v>0</v>
      </c>
      <c r="F218" s="15">
        <v>0</v>
      </c>
      <c r="G218" s="15">
        <v>0</v>
      </c>
      <c r="H218" s="15">
        <v>0</v>
      </c>
      <c r="I218" s="15">
        <v>0</v>
      </c>
      <c r="J218" s="15">
        <v>0</v>
      </c>
      <c r="K218" s="15">
        <v>0</v>
      </c>
      <c r="L218" s="15">
        <v>0</v>
      </c>
      <c r="M218" s="15">
        <v>0</v>
      </c>
      <c r="N218" s="15">
        <v>0</v>
      </c>
    </row>
    <row r="219" spans="1:14" x14ac:dyDescent="0.25">
      <c r="A219" s="10" t="s">
        <v>304</v>
      </c>
      <c r="B219" s="15">
        <v>0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0</v>
      </c>
    </row>
    <row r="220" spans="1:14" x14ac:dyDescent="0.25">
      <c r="A220" s="10" t="s">
        <v>304</v>
      </c>
      <c r="B220" s="15">
        <v>0</v>
      </c>
      <c r="C220" s="15">
        <v>0</v>
      </c>
      <c r="D220" s="15">
        <v>0</v>
      </c>
      <c r="E220" s="15">
        <v>0</v>
      </c>
      <c r="F220" s="15">
        <v>0</v>
      </c>
      <c r="G220" s="15">
        <v>0</v>
      </c>
      <c r="H220" s="15">
        <v>0</v>
      </c>
      <c r="I220" s="15">
        <v>0</v>
      </c>
      <c r="J220" s="15">
        <v>0</v>
      </c>
      <c r="K220" s="15">
        <v>0</v>
      </c>
      <c r="L220" s="15">
        <v>0</v>
      </c>
      <c r="M220" s="15">
        <v>0</v>
      </c>
      <c r="N220" s="15">
        <v>0</v>
      </c>
    </row>
    <row r="221" spans="1:14" x14ac:dyDescent="0.25">
      <c r="A221" s="10" t="s">
        <v>306</v>
      </c>
      <c r="B221" s="15">
        <v>0</v>
      </c>
      <c r="C221" s="15">
        <v>0</v>
      </c>
      <c r="D221" s="15">
        <v>0</v>
      </c>
      <c r="E221" s="15">
        <v>0</v>
      </c>
      <c r="F221" s="15">
        <v>0</v>
      </c>
      <c r="G221" s="15">
        <v>0</v>
      </c>
      <c r="H221" s="15">
        <v>0</v>
      </c>
      <c r="I221" s="15">
        <v>0</v>
      </c>
      <c r="J221" s="15">
        <v>0</v>
      </c>
      <c r="K221" s="15">
        <v>0</v>
      </c>
      <c r="L221" s="15">
        <v>0</v>
      </c>
      <c r="M221" s="15">
        <v>0</v>
      </c>
      <c r="N221" s="15">
        <v>0</v>
      </c>
    </row>
    <row r="222" spans="1:14" x14ac:dyDescent="0.25">
      <c r="A222" s="10" t="s">
        <v>306</v>
      </c>
      <c r="B222" s="15">
        <v>0</v>
      </c>
      <c r="C222" s="15">
        <v>0</v>
      </c>
      <c r="D222" s="15">
        <v>0</v>
      </c>
      <c r="E222" s="15">
        <v>0</v>
      </c>
      <c r="F222" s="15">
        <v>0</v>
      </c>
      <c r="G222" s="15">
        <v>0</v>
      </c>
      <c r="H222" s="15">
        <v>0</v>
      </c>
      <c r="I222" s="15">
        <v>0</v>
      </c>
      <c r="J222" s="15">
        <v>0</v>
      </c>
      <c r="K222" s="15">
        <v>0</v>
      </c>
      <c r="L222" s="15">
        <v>0</v>
      </c>
      <c r="M222" s="15">
        <v>0</v>
      </c>
      <c r="N222" s="15">
        <v>0</v>
      </c>
    </row>
    <row r="223" spans="1:14" x14ac:dyDescent="0.25">
      <c r="A223" s="10" t="s">
        <v>308</v>
      </c>
      <c r="B223" s="15">
        <v>0</v>
      </c>
      <c r="C223" s="15">
        <v>0</v>
      </c>
      <c r="D223" s="15">
        <v>0</v>
      </c>
      <c r="E223" s="15">
        <v>0</v>
      </c>
      <c r="F223" s="15">
        <v>0</v>
      </c>
      <c r="G223" s="15">
        <v>0</v>
      </c>
      <c r="H223" s="15">
        <v>0</v>
      </c>
      <c r="I223" s="15">
        <v>0</v>
      </c>
      <c r="J223" s="15">
        <v>0</v>
      </c>
      <c r="K223" s="15">
        <v>0</v>
      </c>
      <c r="L223" s="15">
        <v>0</v>
      </c>
      <c r="M223" s="15">
        <v>0</v>
      </c>
      <c r="N223" s="15">
        <v>0</v>
      </c>
    </row>
    <row r="224" spans="1:14" x14ac:dyDescent="0.25">
      <c r="A224" s="10" t="s">
        <v>308</v>
      </c>
      <c r="B224" s="15">
        <v>0</v>
      </c>
      <c r="C224" s="15">
        <v>0</v>
      </c>
      <c r="D224" s="15">
        <v>0</v>
      </c>
      <c r="E224" s="15">
        <v>0</v>
      </c>
      <c r="F224" s="15">
        <v>0</v>
      </c>
      <c r="G224" s="15">
        <v>0</v>
      </c>
      <c r="H224" s="15">
        <v>0</v>
      </c>
      <c r="I224" s="15">
        <v>0</v>
      </c>
      <c r="J224" s="15">
        <v>0</v>
      </c>
      <c r="K224" s="15">
        <v>0</v>
      </c>
      <c r="L224" s="15">
        <v>0</v>
      </c>
      <c r="M224" s="15">
        <v>0</v>
      </c>
      <c r="N224" s="15">
        <v>0</v>
      </c>
    </row>
    <row r="225" spans="1:14" x14ac:dyDescent="0.25">
      <c r="A225" s="10" t="s">
        <v>310</v>
      </c>
      <c r="B225" s="15">
        <v>0</v>
      </c>
      <c r="C225" s="15">
        <v>0</v>
      </c>
      <c r="D225" s="15">
        <v>0</v>
      </c>
      <c r="E225" s="15">
        <v>0</v>
      </c>
      <c r="F225" s="15">
        <v>0</v>
      </c>
      <c r="G225" s="15">
        <v>0</v>
      </c>
      <c r="H225" s="15">
        <v>0</v>
      </c>
      <c r="I225" s="15">
        <v>0</v>
      </c>
      <c r="J225" s="15">
        <v>0</v>
      </c>
      <c r="K225" s="15">
        <v>0</v>
      </c>
      <c r="L225" s="15">
        <v>0</v>
      </c>
      <c r="M225" s="15">
        <v>0</v>
      </c>
      <c r="N225" s="15">
        <v>0</v>
      </c>
    </row>
    <row r="226" spans="1:14" x14ac:dyDescent="0.25">
      <c r="A226" s="10" t="s">
        <v>310</v>
      </c>
      <c r="B226" s="15">
        <v>0</v>
      </c>
      <c r="C226" s="15">
        <v>0</v>
      </c>
      <c r="D226" s="15">
        <v>0</v>
      </c>
      <c r="E226" s="15">
        <v>0</v>
      </c>
      <c r="F226" s="15">
        <v>0</v>
      </c>
      <c r="G226" s="15">
        <v>0</v>
      </c>
      <c r="H226" s="15">
        <v>0</v>
      </c>
      <c r="I226" s="15">
        <v>0</v>
      </c>
      <c r="J226" s="15">
        <v>0</v>
      </c>
      <c r="K226" s="15">
        <v>0</v>
      </c>
      <c r="L226" s="15">
        <v>0</v>
      </c>
      <c r="M226" s="15">
        <v>0</v>
      </c>
      <c r="N226" s="15">
        <v>0</v>
      </c>
    </row>
    <row r="227" spans="1:14" x14ac:dyDescent="0.25">
      <c r="A227" s="10" t="s">
        <v>312</v>
      </c>
      <c r="B227" s="15">
        <v>0</v>
      </c>
      <c r="C227" s="15">
        <v>0</v>
      </c>
      <c r="D227" s="15">
        <v>0</v>
      </c>
      <c r="E227" s="15">
        <v>0</v>
      </c>
      <c r="F227" s="15">
        <v>0</v>
      </c>
      <c r="G227" s="15">
        <v>0</v>
      </c>
      <c r="H227" s="15">
        <v>0</v>
      </c>
      <c r="I227" s="15">
        <v>0</v>
      </c>
      <c r="J227" s="15">
        <v>0</v>
      </c>
      <c r="K227" s="15">
        <v>0</v>
      </c>
      <c r="L227" s="15">
        <v>0</v>
      </c>
      <c r="M227" s="15">
        <v>0</v>
      </c>
      <c r="N227" s="15">
        <v>0</v>
      </c>
    </row>
    <row r="228" spans="1:14" x14ac:dyDescent="0.25">
      <c r="A228" s="10" t="s">
        <v>312</v>
      </c>
      <c r="B228" s="15">
        <v>0</v>
      </c>
      <c r="C228" s="15">
        <v>0</v>
      </c>
      <c r="D228" s="15">
        <v>0</v>
      </c>
      <c r="E228" s="15">
        <v>0</v>
      </c>
      <c r="F228" s="15">
        <v>0</v>
      </c>
      <c r="G228" s="15">
        <v>0</v>
      </c>
      <c r="H228" s="15">
        <v>0</v>
      </c>
      <c r="I228" s="15">
        <v>0</v>
      </c>
      <c r="J228" s="15">
        <v>0</v>
      </c>
      <c r="K228" s="15">
        <v>0</v>
      </c>
      <c r="L228" s="15">
        <v>0</v>
      </c>
      <c r="M228" s="15">
        <v>0</v>
      </c>
      <c r="N228" s="15">
        <v>0</v>
      </c>
    </row>
    <row r="229" spans="1:14" x14ac:dyDescent="0.25">
      <c r="A229" s="10" t="s">
        <v>314</v>
      </c>
      <c r="B229" s="15">
        <v>0</v>
      </c>
      <c r="C229" s="15">
        <v>0</v>
      </c>
      <c r="D229" s="15">
        <v>0</v>
      </c>
      <c r="E229" s="15">
        <v>0</v>
      </c>
      <c r="F229" s="15">
        <v>0</v>
      </c>
      <c r="G229" s="15">
        <v>0</v>
      </c>
      <c r="H229" s="15">
        <v>0</v>
      </c>
      <c r="I229" s="15">
        <v>0</v>
      </c>
      <c r="J229" s="15">
        <v>0</v>
      </c>
      <c r="K229" s="15">
        <v>0</v>
      </c>
      <c r="L229" s="15">
        <v>0</v>
      </c>
      <c r="M229" s="15">
        <v>0</v>
      </c>
      <c r="N229" s="15">
        <v>0</v>
      </c>
    </row>
    <row r="230" spans="1:14" x14ac:dyDescent="0.25">
      <c r="A230" s="10" t="s">
        <v>314</v>
      </c>
      <c r="B230" s="15">
        <v>0</v>
      </c>
      <c r="C230" s="15">
        <v>0</v>
      </c>
      <c r="D230" s="15">
        <v>0</v>
      </c>
      <c r="E230" s="15">
        <v>0</v>
      </c>
      <c r="F230" s="15">
        <v>0</v>
      </c>
      <c r="G230" s="15">
        <v>0</v>
      </c>
      <c r="H230" s="15">
        <v>0</v>
      </c>
      <c r="I230" s="15">
        <v>0</v>
      </c>
      <c r="J230" s="15">
        <v>0</v>
      </c>
      <c r="K230" s="15">
        <v>0</v>
      </c>
      <c r="L230" s="15">
        <v>0</v>
      </c>
      <c r="M230" s="15">
        <v>0</v>
      </c>
      <c r="N230" s="15">
        <v>0</v>
      </c>
    </row>
    <row r="231" spans="1:14" x14ac:dyDescent="0.25">
      <c r="A231" s="10" t="s">
        <v>316</v>
      </c>
      <c r="B231" s="15">
        <v>0</v>
      </c>
      <c r="C231" s="15">
        <v>0</v>
      </c>
      <c r="D231" s="15">
        <v>0</v>
      </c>
      <c r="E231" s="15">
        <v>0</v>
      </c>
      <c r="F231" s="15">
        <v>0</v>
      </c>
      <c r="G231" s="15">
        <v>0</v>
      </c>
      <c r="H231" s="15">
        <v>0</v>
      </c>
      <c r="I231" s="15">
        <v>0</v>
      </c>
      <c r="J231" s="15">
        <v>0</v>
      </c>
      <c r="K231" s="15">
        <v>0</v>
      </c>
      <c r="L231" s="15">
        <v>0</v>
      </c>
      <c r="M231" s="15">
        <v>0</v>
      </c>
      <c r="N231" s="15">
        <v>0</v>
      </c>
    </row>
    <row r="232" spans="1:14" x14ac:dyDescent="0.25">
      <c r="A232" s="10" t="s">
        <v>316</v>
      </c>
      <c r="B232" s="15">
        <v>0</v>
      </c>
      <c r="C232" s="15">
        <v>0</v>
      </c>
      <c r="D232" s="15">
        <v>0</v>
      </c>
      <c r="E232" s="15">
        <v>0</v>
      </c>
      <c r="F232" s="15">
        <v>0</v>
      </c>
      <c r="G232" s="15">
        <v>0</v>
      </c>
      <c r="H232" s="15">
        <v>0</v>
      </c>
      <c r="I232" s="15">
        <v>0</v>
      </c>
      <c r="J232" s="15">
        <v>0</v>
      </c>
      <c r="K232" s="15">
        <v>0</v>
      </c>
      <c r="L232" s="15">
        <v>0</v>
      </c>
      <c r="M232" s="15">
        <v>0</v>
      </c>
      <c r="N232" s="15">
        <v>0</v>
      </c>
    </row>
    <row r="233" spans="1:14" x14ac:dyDescent="0.25">
      <c r="A233" s="10" t="s">
        <v>318</v>
      </c>
      <c r="B233" s="15">
        <v>0</v>
      </c>
      <c r="C233" s="15">
        <v>0</v>
      </c>
      <c r="D233" s="15">
        <v>0</v>
      </c>
      <c r="E233" s="15">
        <v>0</v>
      </c>
      <c r="F233" s="15">
        <v>0</v>
      </c>
      <c r="G233" s="15">
        <v>0</v>
      </c>
      <c r="H233" s="15">
        <v>0</v>
      </c>
      <c r="I233" s="15">
        <v>0</v>
      </c>
      <c r="J233" s="15">
        <v>0</v>
      </c>
      <c r="K233" s="15">
        <v>0</v>
      </c>
      <c r="L233" s="15">
        <v>0</v>
      </c>
      <c r="M233" s="15">
        <v>0</v>
      </c>
      <c r="N233" s="15">
        <v>0</v>
      </c>
    </row>
    <row r="234" spans="1:14" x14ac:dyDescent="0.25">
      <c r="A234" s="10" t="s">
        <v>318</v>
      </c>
      <c r="B234" s="15">
        <v>0</v>
      </c>
      <c r="C234" s="15">
        <v>0</v>
      </c>
      <c r="D234" s="15">
        <v>0</v>
      </c>
      <c r="E234" s="15">
        <v>0</v>
      </c>
      <c r="F234" s="15">
        <v>0</v>
      </c>
      <c r="G234" s="15">
        <v>0</v>
      </c>
      <c r="H234" s="15">
        <v>0</v>
      </c>
      <c r="I234" s="15">
        <v>0</v>
      </c>
      <c r="J234" s="15">
        <v>0</v>
      </c>
      <c r="K234" s="15">
        <v>0</v>
      </c>
      <c r="L234" s="15">
        <v>0</v>
      </c>
      <c r="M234" s="15">
        <v>0</v>
      </c>
      <c r="N234" s="15">
        <v>0</v>
      </c>
    </row>
    <row r="235" spans="1:14" x14ac:dyDescent="0.25">
      <c r="A235" s="10" t="s">
        <v>320</v>
      </c>
      <c r="B235" s="15">
        <v>0</v>
      </c>
      <c r="C235" s="15">
        <v>0</v>
      </c>
      <c r="D235" s="15">
        <v>0</v>
      </c>
      <c r="E235" s="15">
        <v>0</v>
      </c>
      <c r="F235" s="15">
        <v>0</v>
      </c>
      <c r="G235" s="15">
        <v>0</v>
      </c>
      <c r="H235" s="15">
        <v>0</v>
      </c>
      <c r="I235" s="15">
        <v>0</v>
      </c>
      <c r="J235" s="15">
        <v>0</v>
      </c>
      <c r="K235" s="15">
        <v>0</v>
      </c>
      <c r="L235" s="15">
        <v>0</v>
      </c>
      <c r="M235" s="15">
        <v>0</v>
      </c>
      <c r="N235" s="15">
        <v>0</v>
      </c>
    </row>
    <row r="236" spans="1:14" x14ac:dyDescent="0.25">
      <c r="A236" s="10" t="s">
        <v>320</v>
      </c>
      <c r="B236" s="15">
        <v>0</v>
      </c>
      <c r="C236" s="15">
        <v>0</v>
      </c>
      <c r="D236" s="15">
        <v>0</v>
      </c>
      <c r="E236" s="15">
        <v>0</v>
      </c>
      <c r="F236" s="15">
        <v>0</v>
      </c>
      <c r="G236" s="15">
        <v>0</v>
      </c>
      <c r="H236" s="15">
        <v>0</v>
      </c>
      <c r="I236" s="15">
        <v>0</v>
      </c>
      <c r="J236" s="15">
        <v>0</v>
      </c>
      <c r="K236" s="15">
        <v>0</v>
      </c>
      <c r="L236" s="15">
        <v>0</v>
      </c>
      <c r="M236" s="15">
        <v>0</v>
      </c>
      <c r="N236" s="15">
        <v>0</v>
      </c>
    </row>
    <row r="237" spans="1:14" x14ac:dyDescent="0.25">
      <c r="A237" s="10" t="s">
        <v>322</v>
      </c>
      <c r="B237" s="15">
        <v>0</v>
      </c>
      <c r="C237" s="15">
        <v>0</v>
      </c>
      <c r="D237" s="15">
        <v>0</v>
      </c>
      <c r="E237" s="15">
        <v>0</v>
      </c>
      <c r="F237" s="15">
        <v>0</v>
      </c>
      <c r="G237" s="15">
        <v>0</v>
      </c>
      <c r="H237" s="15">
        <v>0</v>
      </c>
      <c r="I237" s="15">
        <v>0</v>
      </c>
      <c r="J237" s="15">
        <v>0</v>
      </c>
      <c r="K237" s="15">
        <v>0</v>
      </c>
      <c r="L237" s="15">
        <v>0</v>
      </c>
      <c r="M237" s="15">
        <v>0</v>
      </c>
      <c r="N237" s="15">
        <v>0</v>
      </c>
    </row>
    <row r="238" spans="1:14" x14ac:dyDescent="0.25">
      <c r="A238" s="10" t="s">
        <v>322</v>
      </c>
      <c r="B238" s="15">
        <v>0</v>
      </c>
      <c r="C238" s="15">
        <v>0</v>
      </c>
      <c r="D238" s="15">
        <v>0</v>
      </c>
      <c r="E238" s="15">
        <v>0</v>
      </c>
      <c r="F238" s="15">
        <v>0</v>
      </c>
      <c r="G238" s="15">
        <v>0</v>
      </c>
      <c r="H238" s="15">
        <v>0</v>
      </c>
      <c r="I238" s="15">
        <v>0</v>
      </c>
      <c r="J238" s="15">
        <v>0</v>
      </c>
      <c r="K238" s="15">
        <v>0</v>
      </c>
      <c r="L238" s="15">
        <v>0</v>
      </c>
      <c r="M238" s="15">
        <v>0</v>
      </c>
      <c r="N238" s="15">
        <v>0</v>
      </c>
    </row>
    <row r="239" spans="1:14" x14ac:dyDescent="0.25">
      <c r="A239" s="10" t="s">
        <v>324</v>
      </c>
      <c r="B239" s="15">
        <v>0</v>
      </c>
      <c r="C239" s="15">
        <v>0</v>
      </c>
      <c r="D239" s="15">
        <v>0</v>
      </c>
      <c r="E239" s="15">
        <v>0</v>
      </c>
      <c r="F239" s="15">
        <v>0</v>
      </c>
      <c r="G239" s="15">
        <v>0</v>
      </c>
      <c r="H239" s="15">
        <v>0</v>
      </c>
      <c r="I239" s="15">
        <v>0</v>
      </c>
      <c r="J239" s="15">
        <v>0</v>
      </c>
      <c r="K239" s="15">
        <v>0</v>
      </c>
      <c r="L239" s="15">
        <v>0</v>
      </c>
      <c r="M239" s="15">
        <v>0</v>
      </c>
      <c r="N239" s="15">
        <v>0</v>
      </c>
    </row>
    <row r="240" spans="1:14" x14ac:dyDescent="0.25">
      <c r="A240" s="10" t="s">
        <v>324</v>
      </c>
      <c r="B240" s="15">
        <v>0</v>
      </c>
      <c r="C240" s="15">
        <v>0</v>
      </c>
      <c r="D240" s="15">
        <v>0</v>
      </c>
      <c r="E240" s="15">
        <v>0</v>
      </c>
      <c r="F240" s="15">
        <v>0</v>
      </c>
      <c r="G240" s="15">
        <v>0</v>
      </c>
      <c r="H240" s="15">
        <v>0</v>
      </c>
      <c r="I240" s="15">
        <v>0</v>
      </c>
      <c r="J240" s="15">
        <v>0</v>
      </c>
      <c r="K240" s="15">
        <v>0</v>
      </c>
      <c r="L240" s="15">
        <v>0</v>
      </c>
      <c r="M240" s="15">
        <v>0</v>
      </c>
      <c r="N240" s="15">
        <v>0</v>
      </c>
    </row>
    <row r="241" spans="1:14" x14ac:dyDescent="0.25">
      <c r="A241" s="10" t="s">
        <v>326</v>
      </c>
      <c r="B241" s="15">
        <v>0</v>
      </c>
      <c r="C241" s="15">
        <v>0</v>
      </c>
      <c r="D241" s="15">
        <v>0</v>
      </c>
      <c r="E241" s="15">
        <v>0</v>
      </c>
      <c r="F241" s="15">
        <v>0</v>
      </c>
      <c r="G241" s="15">
        <v>0</v>
      </c>
      <c r="H241" s="15">
        <v>0</v>
      </c>
      <c r="I241" s="15">
        <v>0</v>
      </c>
      <c r="J241" s="15">
        <v>0</v>
      </c>
      <c r="K241" s="15">
        <v>0</v>
      </c>
      <c r="L241" s="15">
        <v>0</v>
      </c>
      <c r="M241" s="15">
        <v>0</v>
      </c>
      <c r="N241" s="15">
        <v>0</v>
      </c>
    </row>
    <row r="242" spans="1:14" x14ac:dyDescent="0.25">
      <c r="A242" s="10" t="s">
        <v>326</v>
      </c>
      <c r="B242" s="15">
        <v>0</v>
      </c>
      <c r="C242" s="15">
        <v>0</v>
      </c>
      <c r="D242" s="15">
        <v>0</v>
      </c>
      <c r="E242" s="15">
        <v>0</v>
      </c>
      <c r="F242" s="15">
        <v>0</v>
      </c>
      <c r="G242" s="15">
        <v>0</v>
      </c>
      <c r="H242" s="15">
        <v>0</v>
      </c>
      <c r="I242" s="15">
        <v>0</v>
      </c>
      <c r="J242" s="15">
        <v>0</v>
      </c>
      <c r="K242" s="15">
        <v>0</v>
      </c>
      <c r="L242" s="15">
        <v>0</v>
      </c>
      <c r="M242" s="15">
        <v>0</v>
      </c>
      <c r="N242" s="15">
        <v>0</v>
      </c>
    </row>
    <row r="243" spans="1:14" x14ac:dyDescent="0.25">
      <c r="A243" s="10" t="s">
        <v>328</v>
      </c>
      <c r="B243" s="15">
        <v>0</v>
      </c>
      <c r="C243" s="15">
        <v>0</v>
      </c>
      <c r="D243" s="15">
        <v>0</v>
      </c>
      <c r="E243" s="15">
        <v>0</v>
      </c>
      <c r="F243" s="15">
        <v>0</v>
      </c>
      <c r="G243" s="15">
        <v>0</v>
      </c>
      <c r="H243" s="15">
        <v>0</v>
      </c>
      <c r="I243" s="15">
        <v>0</v>
      </c>
      <c r="J243" s="15">
        <v>0</v>
      </c>
      <c r="K243" s="15">
        <v>0</v>
      </c>
      <c r="L243" s="15">
        <v>0</v>
      </c>
      <c r="M243" s="15">
        <v>0</v>
      </c>
      <c r="N243" s="15">
        <v>0</v>
      </c>
    </row>
    <row r="244" spans="1:14" x14ac:dyDescent="0.25">
      <c r="A244" s="10" t="s">
        <v>328</v>
      </c>
      <c r="B244" s="15">
        <v>0</v>
      </c>
      <c r="C244" s="15">
        <v>0</v>
      </c>
      <c r="D244" s="15">
        <v>0</v>
      </c>
      <c r="E244" s="15">
        <v>0</v>
      </c>
      <c r="F244" s="15">
        <v>0</v>
      </c>
      <c r="G244" s="15">
        <v>0</v>
      </c>
      <c r="H244" s="15">
        <v>0</v>
      </c>
      <c r="I244" s="15">
        <v>0</v>
      </c>
      <c r="J244" s="15">
        <v>0</v>
      </c>
      <c r="K244" s="15">
        <v>0</v>
      </c>
      <c r="L244" s="15">
        <v>0</v>
      </c>
      <c r="M244" s="15">
        <v>0</v>
      </c>
      <c r="N244" s="15">
        <v>0</v>
      </c>
    </row>
    <row r="245" spans="1:14" x14ac:dyDescent="0.25">
      <c r="A245" s="10" t="s">
        <v>330</v>
      </c>
      <c r="B245" s="15">
        <v>0</v>
      </c>
      <c r="C245" s="15">
        <v>0</v>
      </c>
      <c r="D245" s="15">
        <v>0</v>
      </c>
      <c r="E245" s="15">
        <v>0</v>
      </c>
      <c r="F245" s="15">
        <v>0</v>
      </c>
      <c r="G245" s="15">
        <v>0</v>
      </c>
      <c r="H245" s="15">
        <v>0</v>
      </c>
      <c r="I245" s="15">
        <v>0</v>
      </c>
      <c r="J245" s="15">
        <v>0</v>
      </c>
      <c r="K245" s="15">
        <v>0</v>
      </c>
      <c r="L245" s="15">
        <v>0</v>
      </c>
      <c r="M245" s="15">
        <v>0</v>
      </c>
      <c r="N245" s="15">
        <v>0</v>
      </c>
    </row>
    <row r="246" spans="1:14" x14ac:dyDescent="0.25">
      <c r="A246" s="10" t="s">
        <v>330</v>
      </c>
      <c r="B246" s="15">
        <v>0</v>
      </c>
      <c r="C246" s="15">
        <v>0</v>
      </c>
      <c r="D246" s="15">
        <v>0</v>
      </c>
      <c r="E246" s="15">
        <v>0</v>
      </c>
      <c r="F246" s="15">
        <v>0</v>
      </c>
      <c r="G246" s="15">
        <v>0</v>
      </c>
      <c r="H246" s="15">
        <v>0</v>
      </c>
      <c r="I246" s="15">
        <v>0</v>
      </c>
      <c r="J246" s="15">
        <v>0</v>
      </c>
      <c r="K246" s="15">
        <v>0</v>
      </c>
      <c r="L246" s="15">
        <v>0</v>
      </c>
      <c r="M246" s="15">
        <v>0</v>
      </c>
      <c r="N246" s="15">
        <v>0</v>
      </c>
    </row>
    <row r="247" spans="1:14" x14ac:dyDescent="0.25">
      <c r="A247" s="10" t="s">
        <v>332</v>
      </c>
      <c r="B247" s="15">
        <v>0</v>
      </c>
      <c r="C247" s="15">
        <v>0</v>
      </c>
      <c r="D247" s="15">
        <v>0</v>
      </c>
      <c r="E247" s="15">
        <v>0</v>
      </c>
      <c r="F247" s="15">
        <v>0</v>
      </c>
      <c r="G247" s="15">
        <v>0</v>
      </c>
      <c r="H247" s="15">
        <v>0</v>
      </c>
      <c r="I247" s="15">
        <v>0</v>
      </c>
      <c r="J247" s="15">
        <v>0</v>
      </c>
      <c r="K247" s="15">
        <v>0</v>
      </c>
      <c r="L247" s="15">
        <v>0</v>
      </c>
      <c r="M247" s="15">
        <v>0</v>
      </c>
      <c r="N247" s="15">
        <v>0</v>
      </c>
    </row>
    <row r="248" spans="1:14" x14ac:dyDescent="0.25">
      <c r="A248" s="10" t="s">
        <v>332</v>
      </c>
      <c r="B248" s="15">
        <v>0</v>
      </c>
      <c r="C248" s="15">
        <v>0</v>
      </c>
      <c r="D248" s="15">
        <v>0</v>
      </c>
      <c r="E248" s="15">
        <v>0</v>
      </c>
      <c r="F248" s="15">
        <v>0</v>
      </c>
      <c r="G248" s="15">
        <v>0</v>
      </c>
      <c r="H248" s="15">
        <v>0</v>
      </c>
      <c r="I248" s="15">
        <v>0</v>
      </c>
      <c r="J248" s="15">
        <v>0</v>
      </c>
      <c r="K248" s="15">
        <v>0</v>
      </c>
      <c r="L248" s="15">
        <v>0</v>
      </c>
      <c r="M248" s="15">
        <v>0</v>
      </c>
      <c r="N248" s="15">
        <v>0</v>
      </c>
    </row>
    <row r="249" spans="1:14" x14ac:dyDescent="0.25">
      <c r="A249" s="10" t="s">
        <v>334</v>
      </c>
      <c r="B249" s="15">
        <v>0</v>
      </c>
      <c r="C249" s="15">
        <v>0</v>
      </c>
      <c r="D249" s="15">
        <v>0</v>
      </c>
      <c r="E249" s="15">
        <v>0</v>
      </c>
      <c r="F249" s="15">
        <v>0</v>
      </c>
      <c r="G249" s="15">
        <v>0</v>
      </c>
      <c r="H249" s="15">
        <v>0</v>
      </c>
      <c r="I249" s="15">
        <v>0</v>
      </c>
      <c r="J249" s="15">
        <v>0</v>
      </c>
      <c r="K249" s="15">
        <v>0</v>
      </c>
      <c r="L249" s="15">
        <v>0</v>
      </c>
      <c r="M249" s="15">
        <v>0</v>
      </c>
      <c r="N249" s="15">
        <v>0</v>
      </c>
    </row>
    <row r="250" spans="1:14" x14ac:dyDescent="0.25">
      <c r="A250" s="10" t="s">
        <v>334</v>
      </c>
      <c r="B250" s="15">
        <v>0</v>
      </c>
      <c r="C250" s="15">
        <v>0</v>
      </c>
      <c r="D250" s="15">
        <v>0</v>
      </c>
      <c r="E250" s="15">
        <v>0</v>
      </c>
      <c r="F250" s="15">
        <v>0</v>
      </c>
      <c r="G250" s="15">
        <v>0</v>
      </c>
      <c r="H250" s="15">
        <v>0</v>
      </c>
      <c r="I250" s="15">
        <v>0</v>
      </c>
      <c r="J250" s="15">
        <v>0</v>
      </c>
      <c r="K250" s="15">
        <v>0</v>
      </c>
      <c r="L250" s="15">
        <v>0</v>
      </c>
      <c r="M250" s="15">
        <v>0</v>
      </c>
      <c r="N250" s="15">
        <v>0</v>
      </c>
    </row>
    <row r="251" spans="1:14" x14ac:dyDescent="0.25">
      <c r="A251" s="10" t="s">
        <v>336</v>
      </c>
      <c r="B251" s="15">
        <v>0</v>
      </c>
      <c r="C251" s="15">
        <v>0</v>
      </c>
      <c r="D251" s="15">
        <v>0</v>
      </c>
      <c r="E251" s="15">
        <v>0</v>
      </c>
      <c r="F251" s="15">
        <v>0</v>
      </c>
      <c r="G251" s="15">
        <v>0</v>
      </c>
      <c r="H251" s="15">
        <v>0</v>
      </c>
      <c r="I251" s="15">
        <v>0</v>
      </c>
      <c r="J251" s="15">
        <v>0</v>
      </c>
      <c r="K251" s="15">
        <v>0</v>
      </c>
      <c r="L251" s="15">
        <v>0</v>
      </c>
      <c r="M251" s="15">
        <v>0</v>
      </c>
      <c r="N251" s="15">
        <v>0</v>
      </c>
    </row>
    <row r="252" spans="1:14" x14ac:dyDescent="0.25">
      <c r="A252" s="10" t="s">
        <v>336</v>
      </c>
      <c r="B252" s="15">
        <v>0</v>
      </c>
      <c r="C252" s="15">
        <v>0</v>
      </c>
      <c r="D252" s="15">
        <v>0</v>
      </c>
      <c r="E252" s="15">
        <v>0</v>
      </c>
      <c r="F252" s="15">
        <v>0</v>
      </c>
      <c r="G252" s="15">
        <v>0</v>
      </c>
      <c r="H252" s="15">
        <v>0</v>
      </c>
      <c r="I252" s="15">
        <v>0</v>
      </c>
      <c r="J252" s="15">
        <v>0</v>
      </c>
      <c r="K252" s="15">
        <v>0</v>
      </c>
      <c r="L252" s="15">
        <v>0</v>
      </c>
      <c r="M252" s="15">
        <v>0</v>
      </c>
      <c r="N252" s="15">
        <v>0</v>
      </c>
    </row>
    <row r="253" spans="1:14" x14ac:dyDescent="0.25">
      <c r="A253" s="10" t="s">
        <v>338</v>
      </c>
      <c r="B253" s="15">
        <v>0</v>
      </c>
      <c r="C253" s="15">
        <v>0</v>
      </c>
      <c r="D253" s="15">
        <v>0</v>
      </c>
      <c r="E253" s="15">
        <v>0</v>
      </c>
      <c r="F253" s="15">
        <v>0</v>
      </c>
      <c r="G253" s="15">
        <v>0</v>
      </c>
      <c r="H253" s="15">
        <v>0</v>
      </c>
      <c r="I253" s="15">
        <v>0</v>
      </c>
      <c r="J253" s="15">
        <v>0</v>
      </c>
      <c r="K253" s="15">
        <v>0</v>
      </c>
      <c r="L253" s="15">
        <v>0</v>
      </c>
      <c r="M253" s="15">
        <v>0</v>
      </c>
      <c r="N253" s="15">
        <v>0</v>
      </c>
    </row>
    <row r="254" spans="1:14" x14ac:dyDescent="0.25">
      <c r="A254" s="10" t="s">
        <v>338</v>
      </c>
      <c r="B254" s="15">
        <v>0</v>
      </c>
      <c r="C254" s="15">
        <v>0</v>
      </c>
      <c r="D254" s="15">
        <v>0</v>
      </c>
      <c r="E254" s="15">
        <v>0</v>
      </c>
      <c r="F254" s="15">
        <v>0</v>
      </c>
      <c r="G254" s="15">
        <v>0</v>
      </c>
      <c r="H254" s="15">
        <v>0</v>
      </c>
      <c r="I254" s="15">
        <v>0</v>
      </c>
      <c r="J254" s="15">
        <v>0</v>
      </c>
      <c r="K254" s="15">
        <v>0</v>
      </c>
      <c r="L254" s="15">
        <v>0</v>
      </c>
      <c r="M254" s="15">
        <v>0</v>
      </c>
      <c r="N254" s="15">
        <v>0</v>
      </c>
    </row>
    <row r="255" spans="1:14" x14ac:dyDescent="0.25">
      <c r="A255" s="10" t="s">
        <v>340</v>
      </c>
      <c r="B255" s="15">
        <v>0</v>
      </c>
      <c r="C255" s="15">
        <v>0</v>
      </c>
      <c r="D255" s="15">
        <v>0</v>
      </c>
      <c r="E255" s="15">
        <v>0</v>
      </c>
      <c r="F255" s="15">
        <v>0</v>
      </c>
      <c r="G255" s="15">
        <v>0</v>
      </c>
      <c r="H255" s="15">
        <v>0</v>
      </c>
      <c r="I255" s="15">
        <v>0</v>
      </c>
      <c r="J255" s="15">
        <v>0</v>
      </c>
      <c r="K255" s="15">
        <v>0</v>
      </c>
      <c r="L255" s="15">
        <v>0</v>
      </c>
      <c r="M255" s="15">
        <v>0</v>
      </c>
      <c r="N255" s="15">
        <v>0</v>
      </c>
    </row>
    <row r="256" spans="1:14" x14ac:dyDescent="0.25">
      <c r="A256" s="10" t="s">
        <v>340</v>
      </c>
      <c r="B256" s="15">
        <v>0</v>
      </c>
      <c r="C256" s="15">
        <v>0</v>
      </c>
      <c r="D256" s="15">
        <v>0</v>
      </c>
      <c r="E256" s="15">
        <v>0</v>
      </c>
      <c r="F256" s="15">
        <v>0</v>
      </c>
      <c r="G256" s="15">
        <v>0</v>
      </c>
      <c r="H256" s="15">
        <v>0</v>
      </c>
      <c r="I256" s="15">
        <v>0</v>
      </c>
      <c r="J256" s="15">
        <v>0</v>
      </c>
      <c r="K256" s="15">
        <v>0</v>
      </c>
      <c r="L256" s="15">
        <v>0</v>
      </c>
      <c r="M256" s="15">
        <v>0</v>
      </c>
      <c r="N256" s="15">
        <v>0</v>
      </c>
    </row>
    <row r="257" spans="1:14" x14ac:dyDescent="0.25">
      <c r="A257" s="10" t="s">
        <v>342</v>
      </c>
      <c r="B257" s="15">
        <v>0</v>
      </c>
      <c r="C257" s="15">
        <v>0</v>
      </c>
      <c r="D257" s="15">
        <v>0</v>
      </c>
      <c r="E257" s="15">
        <v>0</v>
      </c>
      <c r="F257" s="15">
        <v>0</v>
      </c>
      <c r="G257" s="15">
        <v>0</v>
      </c>
      <c r="H257" s="15">
        <v>0</v>
      </c>
      <c r="I257" s="15">
        <v>0</v>
      </c>
      <c r="J257" s="15">
        <v>0</v>
      </c>
      <c r="K257" s="15">
        <v>0</v>
      </c>
      <c r="L257" s="15">
        <v>0</v>
      </c>
      <c r="M257" s="15">
        <v>0</v>
      </c>
      <c r="N257" s="15">
        <v>0</v>
      </c>
    </row>
    <row r="258" spans="1:14" x14ac:dyDescent="0.25">
      <c r="A258" s="10" t="s">
        <v>342</v>
      </c>
      <c r="B258" s="15">
        <v>0</v>
      </c>
      <c r="C258" s="15">
        <v>0</v>
      </c>
      <c r="D258" s="15">
        <v>0</v>
      </c>
      <c r="E258" s="15">
        <v>0</v>
      </c>
      <c r="F258" s="15">
        <v>0</v>
      </c>
      <c r="G258" s="15">
        <v>0</v>
      </c>
      <c r="H258" s="15">
        <v>0</v>
      </c>
      <c r="I258" s="15">
        <v>0</v>
      </c>
      <c r="J258" s="15">
        <v>0</v>
      </c>
      <c r="K258" s="15">
        <v>0</v>
      </c>
      <c r="L258" s="15">
        <v>0</v>
      </c>
      <c r="M258" s="15">
        <v>0</v>
      </c>
      <c r="N258" s="15">
        <v>0</v>
      </c>
    </row>
    <row r="259" spans="1:14" x14ac:dyDescent="0.25">
      <c r="A259" s="10" t="s">
        <v>344</v>
      </c>
      <c r="B259" s="15">
        <v>0</v>
      </c>
      <c r="C259" s="15">
        <v>0</v>
      </c>
      <c r="D259" s="15">
        <v>0</v>
      </c>
      <c r="E259" s="15">
        <v>0</v>
      </c>
      <c r="F259" s="15">
        <v>0</v>
      </c>
      <c r="G259" s="15">
        <v>0</v>
      </c>
      <c r="H259" s="15">
        <v>0</v>
      </c>
      <c r="I259" s="15">
        <v>0</v>
      </c>
      <c r="J259" s="15">
        <v>0</v>
      </c>
      <c r="K259" s="15">
        <v>0</v>
      </c>
      <c r="L259" s="15">
        <v>0</v>
      </c>
      <c r="M259" s="15">
        <v>0</v>
      </c>
      <c r="N259" s="15">
        <v>0</v>
      </c>
    </row>
    <row r="260" spans="1:14" x14ac:dyDescent="0.25">
      <c r="A260" s="10" t="s">
        <v>344</v>
      </c>
      <c r="B260" s="15">
        <v>0</v>
      </c>
      <c r="C260" s="15">
        <v>0</v>
      </c>
      <c r="D260" s="15">
        <v>0</v>
      </c>
      <c r="E260" s="15">
        <v>0</v>
      </c>
      <c r="F260" s="15">
        <v>0</v>
      </c>
      <c r="G260" s="15">
        <v>0</v>
      </c>
      <c r="H260" s="15">
        <v>0</v>
      </c>
      <c r="I260" s="15">
        <v>0</v>
      </c>
      <c r="J260" s="15">
        <v>0</v>
      </c>
      <c r="K260" s="15">
        <v>0</v>
      </c>
      <c r="L260" s="15">
        <v>0</v>
      </c>
      <c r="M260" s="15">
        <v>0</v>
      </c>
      <c r="N260" s="15">
        <v>0</v>
      </c>
    </row>
    <row r="261" spans="1:14" x14ac:dyDescent="0.25">
      <c r="A261" s="10" t="s">
        <v>346</v>
      </c>
      <c r="B261" s="15">
        <v>0</v>
      </c>
      <c r="C261" s="15">
        <v>0</v>
      </c>
      <c r="D261" s="15">
        <v>0</v>
      </c>
      <c r="E261" s="15">
        <v>0</v>
      </c>
      <c r="F261" s="15">
        <v>0</v>
      </c>
      <c r="G261" s="15">
        <v>0</v>
      </c>
      <c r="H261" s="15">
        <v>0</v>
      </c>
      <c r="I261" s="15">
        <v>0</v>
      </c>
      <c r="J261" s="15">
        <v>0</v>
      </c>
      <c r="K261" s="15">
        <v>0</v>
      </c>
      <c r="L261" s="15">
        <v>0</v>
      </c>
      <c r="M261" s="15">
        <v>0</v>
      </c>
      <c r="N261" s="15">
        <v>0</v>
      </c>
    </row>
    <row r="262" spans="1:14" x14ac:dyDescent="0.25">
      <c r="A262" s="10" t="s">
        <v>346</v>
      </c>
      <c r="B262" s="15">
        <v>0</v>
      </c>
      <c r="C262" s="15">
        <v>0</v>
      </c>
      <c r="D262" s="15">
        <v>0</v>
      </c>
      <c r="E262" s="15">
        <v>0</v>
      </c>
      <c r="F262" s="15">
        <v>0</v>
      </c>
      <c r="G262" s="15">
        <v>0</v>
      </c>
      <c r="H262" s="15">
        <v>0</v>
      </c>
      <c r="I262" s="15">
        <v>0</v>
      </c>
      <c r="J262" s="15">
        <v>0</v>
      </c>
      <c r="K262" s="15">
        <v>0</v>
      </c>
      <c r="L262" s="15">
        <v>0</v>
      </c>
      <c r="M262" s="15">
        <v>0</v>
      </c>
      <c r="N262" s="15">
        <v>0</v>
      </c>
    </row>
    <row r="263" spans="1:14" x14ac:dyDescent="0.25">
      <c r="A263" s="10" t="s">
        <v>348</v>
      </c>
      <c r="B263" s="15">
        <v>0</v>
      </c>
      <c r="C263" s="15">
        <v>0</v>
      </c>
      <c r="D263" s="15">
        <v>0</v>
      </c>
      <c r="E263" s="15">
        <v>0</v>
      </c>
      <c r="F263" s="15">
        <v>0</v>
      </c>
      <c r="G263" s="15">
        <v>0</v>
      </c>
      <c r="H263" s="15">
        <v>0</v>
      </c>
      <c r="I263" s="15">
        <v>0</v>
      </c>
      <c r="J263" s="15">
        <v>0</v>
      </c>
      <c r="K263" s="15">
        <v>0</v>
      </c>
      <c r="L263" s="15">
        <v>0</v>
      </c>
      <c r="M263" s="15">
        <v>0</v>
      </c>
      <c r="N263" s="15">
        <v>0</v>
      </c>
    </row>
    <row r="264" spans="1:14" x14ac:dyDescent="0.25">
      <c r="A264" s="10" t="s">
        <v>348</v>
      </c>
      <c r="B264" s="15">
        <v>0</v>
      </c>
      <c r="C264" s="15">
        <v>0</v>
      </c>
      <c r="D264" s="15">
        <v>0</v>
      </c>
      <c r="E264" s="15">
        <v>0</v>
      </c>
      <c r="F264" s="15">
        <v>0</v>
      </c>
      <c r="G264" s="15">
        <v>0</v>
      </c>
      <c r="H264" s="15">
        <v>0</v>
      </c>
      <c r="I264" s="15">
        <v>0</v>
      </c>
      <c r="J264" s="15">
        <v>0</v>
      </c>
      <c r="K264" s="15">
        <v>0</v>
      </c>
      <c r="L264" s="15">
        <v>0</v>
      </c>
      <c r="M264" s="15">
        <v>0</v>
      </c>
      <c r="N264" s="15">
        <v>0</v>
      </c>
    </row>
    <row r="265" spans="1:14" x14ac:dyDescent="0.25">
      <c r="A265" s="10" t="s">
        <v>350</v>
      </c>
      <c r="B265" s="15">
        <v>0</v>
      </c>
      <c r="C265" s="15">
        <v>0</v>
      </c>
      <c r="D265" s="15">
        <v>0</v>
      </c>
      <c r="E265" s="15">
        <v>0</v>
      </c>
      <c r="F265" s="15">
        <v>0</v>
      </c>
      <c r="G265" s="15">
        <v>0</v>
      </c>
      <c r="H265" s="15">
        <v>0</v>
      </c>
      <c r="I265" s="15">
        <v>0</v>
      </c>
      <c r="J265" s="15">
        <v>0</v>
      </c>
      <c r="K265" s="15">
        <v>0</v>
      </c>
      <c r="L265" s="15">
        <v>0</v>
      </c>
      <c r="M265" s="15">
        <v>0</v>
      </c>
      <c r="N265" s="15">
        <v>0</v>
      </c>
    </row>
    <row r="266" spans="1:14" x14ac:dyDescent="0.25">
      <c r="A266" s="10" t="s">
        <v>350</v>
      </c>
      <c r="B266" s="15">
        <v>0</v>
      </c>
      <c r="C266" s="15">
        <v>0</v>
      </c>
      <c r="D266" s="15">
        <v>0</v>
      </c>
      <c r="E266" s="15">
        <v>0</v>
      </c>
      <c r="F266" s="15">
        <v>0</v>
      </c>
      <c r="G266" s="15">
        <v>0</v>
      </c>
      <c r="H266" s="15">
        <v>0</v>
      </c>
      <c r="I266" s="15">
        <v>0</v>
      </c>
      <c r="J266" s="15">
        <v>0</v>
      </c>
      <c r="K266" s="15">
        <v>0</v>
      </c>
      <c r="L266" s="15">
        <v>0</v>
      </c>
      <c r="M266" s="15">
        <v>0</v>
      </c>
      <c r="N266" s="15">
        <v>0</v>
      </c>
    </row>
    <row r="267" spans="1:14" x14ac:dyDescent="0.25">
      <c r="A267" s="10" t="s">
        <v>352</v>
      </c>
      <c r="B267" s="15">
        <v>0</v>
      </c>
      <c r="C267" s="15">
        <v>0</v>
      </c>
      <c r="D267" s="15">
        <v>0</v>
      </c>
      <c r="E267" s="15">
        <v>0</v>
      </c>
      <c r="F267" s="15">
        <v>0</v>
      </c>
      <c r="G267" s="15">
        <v>0</v>
      </c>
      <c r="H267" s="15">
        <v>0</v>
      </c>
      <c r="I267" s="15">
        <v>0</v>
      </c>
      <c r="J267" s="15">
        <v>0</v>
      </c>
      <c r="K267" s="15">
        <v>0</v>
      </c>
      <c r="L267" s="15">
        <v>0</v>
      </c>
      <c r="M267" s="15">
        <v>0</v>
      </c>
      <c r="N267" s="15">
        <v>0</v>
      </c>
    </row>
    <row r="268" spans="1:14" x14ac:dyDescent="0.25">
      <c r="A268" s="10" t="s">
        <v>352</v>
      </c>
      <c r="B268" s="15">
        <v>0</v>
      </c>
      <c r="C268" s="15">
        <v>0</v>
      </c>
      <c r="D268" s="15">
        <v>0</v>
      </c>
      <c r="E268" s="15">
        <v>0</v>
      </c>
      <c r="F268" s="15">
        <v>0</v>
      </c>
      <c r="G268" s="15">
        <v>0</v>
      </c>
      <c r="H268" s="15">
        <v>0</v>
      </c>
      <c r="I268" s="15">
        <v>0</v>
      </c>
      <c r="J268" s="15">
        <v>0</v>
      </c>
      <c r="K268" s="15">
        <v>0</v>
      </c>
      <c r="L268" s="15">
        <v>0</v>
      </c>
      <c r="M268" s="15">
        <v>0</v>
      </c>
      <c r="N268" s="15">
        <v>0</v>
      </c>
    </row>
    <row r="269" spans="1:14" x14ac:dyDescent="0.25">
      <c r="A269" s="10" t="s">
        <v>354</v>
      </c>
      <c r="B269" s="15">
        <v>0</v>
      </c>
      <c r="C269" s="15">
        <v>0</v>
      </c>
      <c r="D269" s="15">
        <v>0</v>
      </c>
      <c r="E269" s="15">
        <v>0</v>
      </c>
      <c r="F269" s="15">
        <v>0</v>
      </c>
      <c r="G269" s="15">
        <v>0</v>
      </c>
      <c r="H269" s="15">
        <v>0</v>
      </c>
      <c r="I269" s="15">
        <v>0</v>
      </c>
      <c r="J269" s="15">
        <v>0</v>
      </c>
      <c r="K269" s="15">
        <v>0</v>
      </c>
      <c r="L269" s="15">
        <v>0</v>
      </c>
      <c r="M269" s="15">
        <v>0</v>
      </c>
      <c r="N269" s="15">
        <v>0</v>
      </c>
    </row>
    <row r="270" spans="1:14" x14ac:dyDescent="0.25">
      <c r="A270" s="10" t="s">
        <v>354</v>
      </c>
      <c r="B270" s="15">
        <v>0</v>
      </c>
      <c r="C270" s="15">
        <v>0</v>
      </c>
      <c r="D270" s="15">
        <v>0</v>
      </c>
      <c r="E270" s="15">
        <v>0</v>
      </c>
      <c r="F270" s="15">
        <v>0</v>
      </c>
      <c r="G270" s="15">
        <v>0</v>
      </c>
      <c r="H270" s="15">
        <v>0</v>
      </c>
      <c r="I270" s="15">
        <v>0</v>
      </c>
      <c r="J270" s="15">
        <v>0</v>
      </c>
      <c r="K270" s="15">
        <v>0</v>
      </c>
      <c r="L270" s="15">
        <v>0</v>
      </c>
      <c r="M270" s="15">
        <v>0</v>
      </c>
      <c r="N270" s="15">
        <v>0</v>
      </c>
    </row>
    <row r="271" spans="1:14" x14ac:dyDescent="0.25">
      <c r="A271" s="10" t="s">
        <v>356</v>
      </c>
      <c r="B271" s="15">
        <v>0</v>
      </c>
      <c r="C271" s="15">
        <v>0</v>
      </c>
      <c r="D271" s="15">
        <v>0</v>
      </c>
      <c r="E271" s="15">
        <v>0</v>
      </c>
      <c r="F271" s="15">
        <v>0</v>
      </c>
      <c r="G271" s="15">
        <v>0</v>
      </c>
      <c r="H271" s="15">
        <v>0</v>
      </c>
      <c r="I271" s="15">
        <v>0</v>
      </c>
      <c r="J271" s="15">
        <v>0</v>
      </c>
      <c r="K271" s="15">
        <v>0</v>
      </c>
      <c r="L271" s="15">
        <v>0</v>
      </c>
      <c r="M271" s="15">
        <v>0</v>
      </c>
      <c r="N271" s="15">
        <v>0</v>
      </c>
    </row>
    <row r="272" spans="1:14" x14ac:dyDescent="0.25">
      <c r="A272" s="10" t="s">
        <v>356</v>
      </c>
      <c r="B272" s="15">
        <v>0</v>
      </c>
      <c r="C272" s="15">
        <v>0</v>
      </c>
      <c r="D272" s="15">
        <v>0</v>
      </c>
      <c r="E272" s="15">
        <v>0</v>
      </c>
      <c r="F272" s="15">
        <v>0</v>
      </c>
      <c r="G272" s="15">
        <v>0</v>
      </c>
      <c r="H272" s="15">
        <v>0</v>
      </c>
      <c r="I272" s="15">
        <v>0</v>
      </c>
      <c r="J272" s="15">
        <v>0</v>
      </c>
      <c r="K272" s="15">
        <v>0</v>
      </c>
      <c r="L272" s="15">
        <v>0</v>
      </c>
      <c r="M272" s="15">
        <v>0</v>
      </c>
      <c r="N272" s="15">
        <v>0</v>
      </c>
    </row>
    <row r="273" spans="1:14" x14ac:dyDescent="0.25">
      <c r="A273" s="10" t="s">
        <v>358</v>
      </c>
      <c r="B273" s="15">
        <v>0</v>
      </c>
      <c r="C273" s="15">
        <v>0</v>
      </c>
      <c r="D273" s="15">
        <v>0</v>
      </c>
      <c r="E273" s="15">
        <v>0</v>
      </c>
      <c r="F273" s="15">
        <v>0</v>
      </c>
      <c r="G273" s="15">
        <v>0</v>
      </c>
      <c r="H273" s="15">
        <v>0</v>
      </c>
      <c r="I273" s="15">
        <v>0</v>
      </c>
      <c r="J273" s="15">
        <v>0</v>
      </c>
      <c r="K273" s="15">
        <v>0</v>
      </c>
      <c r="L273" s="15">
        <v>0</v>
      </c>
      <c r="M273" s="15">
        <v>0</v>
      </c>
      <c r="N273" s="15">
        <v>0</v>
      </c>
    </row>
    <row r="274" spans="1:14" x14ac:dyDescent="0.25">
      <c r="A274" s="10" t="s">
        <v>358</v>
      </c>
      <c r="B274" s="15">
        <v>0</v>
      </c>
      <c r="C274" s="15">
        <v>0</v>
      </c>
      <c r="D274" s="15">
        <v>0</v>
      </c>
      <c r="E274" s="15">
        <v>0</v>
      </c>
      <c r="F274" s="15">
        <v>0</v>
      </c>
      <c r="G274" s="15">
        <v>0</v>
      </c>
      <c r="H274" s="15">
        <v>0</v>
      </c>
      <c r="I274" s="15">
        <v>0</v>
      </c>
      <c r="J274" s="15">
        <v>0</v>
      </c>
      <c r="K274" s="15">
        <v>0</v>
      </c>
      <c r="L274" s="15">
        <v>0</v>
      </c>
      <c r="M274" s="15">
        <v>0</v>
      </c>
      <c r="N274" s="15">
        <v>0</v>
      </c>
    </row>
    <row r="275" spans="1:14" x14ac:dyDescent="0.25">
      <c r="A275" s="10" t="s">
        <v>360</v>
      </c>
      <c r="B275" s="15">
        <v>0</v>
      </c>
      <c r="C275" s="15">
        <v>0</v>
      </c>
      <c r="D275" s="15">
        <v>0</v>
      </c>
      <c r="E275" s="15">
        <v>0</v>
      </c>
      <c r="F275" s="15">
        <v>0</v>
      </c>
      <c r="G275" s="15">
        <v>0</v>
      </c>
      <c r="H275" s="15">
        <v>0</v>
      </c>
      <c r="I275" s="15">
        <v>0</v>
      </c>
      <c r="J275" s="15">
        <v>0</v>
      </c>
      <c r="K275" s="15">
        <v>0</v>
      </c>
      <c r="L275" s="15">
        <v>0</v>
      </c>
      <c r="M275" s="15">
        <v>0</v>
      </c>
      <c r="N275" s="15">
        <v>0</v>
      </c>
    </row>
    <row r="276" spans="1:14" x14ac:dyDescent="0.25">
      <c r="A276" s="10" t="s">
        <v>360</v>
      </c>
      <c r="B276" s="15">
        <v>0</v>
      </c>
      <c r="C276" s="15">
        <v>0</v>
      </c>
      <c r="D276" s="15">
        <v>0</v>
      </c>
      <c r="E276" s="15">
        <v>0</v>
      </c>
      <c r="F276" s="15">
        <v>0</v>
      </c>
      <c r="G276" s="15">
        <v>0</v>
      </c>
      <c r="H276" s="15">
        <v>0</v>
      </c>
      <c r="I276" s="15">
        <v>0</v>
      </c>
      <c r="J276" s="15">
        <v>0</v>
      </c>
      <c r="K276" s="15">
        <v>0</v>
      </c>
      <c r="L276" s="15">
        <v>0</v>
      </c>
      <c r="M276" s="15">
        <v>0</v>
      </c>
      <c r="N276" s="15">
        <v>0</v>
      </c>
    </row>
    <row r="277" spans="1:14" x14ac:dyDescent="0.25">
      <c r="A277" s="10" t="s">
        <v>362</v>
      </c>
      <c r="B277" s="15">
        <v>0</v>
      </c>
      <c r="C277" s="15">
        <v>0</v>
      </c>
      <c r="D277" s="15">
        <v>0</v>
      </c>
      <c r="E277" s="15">
        <v>0</v>
      </c>
      <c r="F277" s="15">
        <v>0</v>
      </c>
      <c r="G277" s="15">
        <v>0</v>
      </c>
      <c r="H277" s="15">
        <v>0</v>
      </c>
      <c r="I277" s="15">
        <v>0</v>
      </c>
      <c r="J277" s="15">
        <v>0</v>
      </c>
      <c r="K277" s="15">
        <v>0</v>
      </c>
      <c r="L277" s="15">
        <v>0</v>
      </c>
      <c r="M277" s="15">
        <v>0</v>
      </c>
      <c r="N277" s="15">
        <v>0</v>
      </c>
    </row>
    <row r="278" spans="1:14" x14ac:dyDescent="0.25">
      <c r="A278" s="10" t="s">
        <v>362</v>
      </c>
      <c r="B278" s="15">
        <v>0</v>
      </c>
      <c r="C278" s="15">
        <v>0</v>
      </c>
      <c r="D278" s="15">
        <v>0</v>
      </c>
      <c r="E278" s="15">
        <v>0</v>
      </c>
      <c r="F278" s="15">
        <v>0</v>
      </c>
      <c r="G278" s="15">
        <v>0</v>
      </c>
      <c r="H278" s="15">
        <v>0</v>
      </c>
      <c r="I278" s="15">
        <v>0</v>
      </c>
      <c r="J278" s="15">
        <v>0</v>
      </c>
      <c r="K278" s="15">
        <v>0</v>
      </c>
      <c r="L278" s="15">
        <v>0</v>
      </c>
      <c r="M278" s="15">
        <v>0</v>
      </c>
      <c r="N278" s="15">
        <v>0</v>
      </c>
    </row>
    <row r="279" spans="1:14" x14ac:dyDescent="0.25">
      <c r="A279" s="10" t="s">
        <v>364</v>
      </c>
      <c r="B279" s="15">
        <v>0</v>
      </c>
      <c r="C279" s="15">
        <v>0</v>
      </c>
      <c r="D279" s="15">
        <v>0</v>
      </c>
      <c r="E279" s="15">
        <v>0</v>
      </c>
      <c r="F279" s="15">
        <v>0</v>
      </c>
      <c r="G279" s="15">
        <v>0</v>
      </c>
      <c r="H279" s="15">
        <v>0</v>
      </c>
      <c r="I279" s="15">
        <v>0</v>
      </c>
      <c r="J279" s="15">
        <v>0</v>
      </c>
      <c r="K279" s="15">
        <v>0</v>
      </c>
      <c r="L279" s="15">
        <v>0</v>
      </c>
      <c r="M279" s="15">
        <v>0</v>
      </c>
      <c r="N279" s="15">
        <v>0</v>
      </c>
    </row>
    <row r="280" spans="1:14" x14ac:dyDescent="0.25">
      <c r="A280" s="10" t="s">
        <v>364</v>
      </c>
      <c r="B280" s="15">
        <v>0</v>
      </c>
      <c r="C280" s="15">
        <v>0</v>
      </c>
      <c r="D280" s="15">
        <v>0</v>
      </c>
      <c r="E280" s="15">
        <v>0</v>
      </c>
      <c r="F280" s="15">
        <v>0</v>
      </c>
      <c r="G280" s="15">
        <v>0</v>
      </c>
      <c r="H280" s="15">
        <v>0</v>
      </c>
      <c r="I280" s="15">
        <v>0</v>
      </c>
      <c r="J280" s="15">
        <v>0</v>
      </c>
      <c r="K280" s="15">
        <v>0</v>
      </c>
      <c r="L280" s="15">
        <v>0</v>
      </c>
      <c r="M280" s="15">
        <v>0</v>
      </c>
      <c r="N280" s="15">
        <v>0</v>
      </c>
    </row>
    <row r="281" spans="1:14" x14ac:dyDescent="0.25">
      <c r="A281" s="10" t="s">
        <v>366</v>
      </c>
      <c r="B281" s="15">
        <v>0</v>
      </c>
      <c r="C281" s="15">
        <v>0</v>
      </c>
      <c r="D281" s="15">
        <v>0</v>
      </c>
      <c r="E281" s="15">
        <v>0</v>
      </c>
      <c r="F281" s="15">
        <v>0</v>
      </c>
      <c r="G281" s="15">
        <v>0</v>
      </c>
      <c r="H281" s="15">
        <v>0</v>
      </c>
      <c r="I281" s="15">
        <v>0</v>
      </c>
      <c r="J281" s="15">
        <v>0</v>
      </c>
      <c r="K281" s="15">
        <v>0</v>
      </c>
      <c r="L281" s="15">
        <v>0</v>
      </c>
      <c r="M281" s="15">
        <v>0</v>
      </c>
      <c r="N281" s="15">
        <v>0</v>
      </c>
    </row>
    <row r="282" spans="1:14" x14ac:dyDescent="0.25">
      <c r="A282" s="10" t="s">
        <v>366</v>
      </c>
      <c r="B282" s="15">
        <v>0</v>
      </c>
      <c r="C282" s="15">
        <v>0</v>
      </c>
      <c r="D282" s="15">
        <v>0</v>
      </c>
      <c r="E282" s="15">
        <v>0</v>
      </c>
      <c r="F282" s="15">
        <v>0</v>
      </c>
      <c r="G282" s="15">
        <v>0</v>
      </c>
      <c r="H282" s="15">
        <v>0</v>
      </c>
      <c r="I282" s="15">
        <v>0</v>
      </c>
      <c r="J282" s="15">
        <v>0</v>
      </c>
      <c r="K282" s="15">
        <v>0</v>
      </c>
      <c r="L282" s="15">
        <v>0</v>
      </c>
      <c r="M282" s="15">
        <v>0</v>
      </c>
      <c r="N282" s="15">
        <v>0</v>
      </c>
    </row>
    <row r="283" spans="1:14" x14ac:dyDescent="0.25">
      <c r="A283" s="10" t="s">
        <v>368</v>
      </c>
      <c r="B283" s="15">
        <v>0</v>
      </c>
      <c r="C283" s="15">
        <v>0</v>
      </c>
      <c r="D283" s="15">
        <v>0</v>
      </c>
      <c r="E283" s="15">
        <v>0</v>
      </c>
      <c r="F283" s="15">
        <v>0</v>
      </c>
      <c r="G283" s="15">
        <v>0</v>
      </c>
      <c r="H283" s="15">
        <v>0</v>
      </c>
      <c r="I283" s="15">
        <v>0</v>
      </c>
      <c r="J283" s="15">
        <v>0</v>
      </c>
      <c r="K283" s="15">
        <v>0</v>
      </c>
      <c r="L283" s="15">
        <v>0</v>
      </c>
      <c r="M283" s="15">
        <v>0</v>
      </c>
      <c r="N283" s="15">
        <v>0</v>
      </c>
    </row>
    <row r="284" spans="1:14" x14ac:dyDescent="0.25">
      <c r="A284" s="10" t="s">
        <v>368</v>
      </c>
      <c r="B284" s="15">
        <v>0</v>
      </c>
      <c r="C284" s="15">
        <v>0</v>
      </c>
      <c r="D284" s="15">
        <v>0</v>
      </c>
      <c r="E284" s="15">
        <v>0</v>
      </c>
      <c r="F284" s="15">
        <v>0</v>
      </c>
      <c r="G284" s="15">
        <v>0</v>
      </c>
      <c r="H284" s="15">
        <v>0</v>
      </c>
      <c r="I284" s="15">
        <v>0</v>
      </c>
      <c r="J284" s="15">
        <v>0</v>
      </c>
      <c r="K284" s="15">
        <v>0</v>
      </c>
      <c r="L284" s="15">
        <v>0</v>
      </c>
      <c r="M284" s="15">
        <v>0</v>
      </c>
      <c r="N284" s="15">
        <v>0</v>
      </c>
    </row>
    <row r="285" spans="1:14" x14ac:dyDescent="0.25">
      <c r="A285" s="10" t="s">
        <v>370</v>
      </c>
      <c r="B285" s="15">
        <v>0</v>
      </c>
      <c r="C285" s="15">
        <v>0</v>
      </c>
      <c r="D285" s="15">
        <v>0</v>
      </c>
      <c r="E285" s="15">
        <v>0</v>
      </c>
      <c r="F285" s="15">
        <v>0</v>
      </c>
      <c r="G285" s="15">
        <v>0</v>
      </c>
      <c r="H285" s="15">
        <v>0</v>
      </c>
      <c r="I285" s="15">
        <v>0</v>
      </c>
      <c r="J285" s="15">
        <v>0</v>
      </c>
      <c r="K285" s="15">
        <v>0</v>
      </c>
      <c r="L285" s="15">
        <v>0</v>
      </c>
      <c r="M285" s="15">
        <v>0</v>
      </c>
      <c r="N285" s="15">
        <v>0</v>
      </c>
    </row>
    <row r="286" spans="1:14" x14ac:dyDescent="0.25">
      <c r="A286" s="10" t="s">
        <v>370</v>
      </c>
      <c r="B286" s="15">
        <v>0</v>
      </c>
      <c r="C286" s="15">
        <v>0</v>
      </c>
      <c r="D286" s="15">
        <v>0</v>
      </c>
      <c r="E286" s="15">
        <v>0</v>
      </c>
      <c r="F286" s="15">
        <v>0</v>
      </c>
      <c r="G286" s="15">
        <v>0</v>
      </c>
      <c r="H286" s="15">
        <v>0</v>
      </c>
      <c r="I286" s="15">
        <v>0</v>
      </c>
      <c r="J286" s="15">
        <v>0</v>
      </c>
      <c r="K286" s="15">
        <v>0</v>
      </c>
      <c r="L286" s="15">
        <v>0</v>
      </c>
      <c r="M286" s="15">
        <v>0</v>
      </c>
      <c r="N286" s="15">
        <v>0</v>
      </c>
    </row>
    <row r="287" spans="1:14" x14ac:dyDescent="0.25">
      <c r="A287" s="10" t="s">
        <v>372</v>
      </c>
      <c r="B287" s="15">
        <v>0</v>
      </c>
      <c r="C287" s="15">
        <v>0</v>
      </c>
      <c r="D287" s="15">
        <v>0</v>
      </c>
      <c r="E287" s="15">
        <v>0</v>
      </c>
      <c r="F287" s="15">
        <v>0</v>
      </c>
      <c r="G287" s="15">
        <v>0</v>
      </c>
      <c r="H287" s="15">
        <v>0</v>
      </c>
      <c r="I287" s="15">
        <v>0</v>
      </c>
      <c r="J287" s="15">
        <v>0</v>
      </c>
      <c r="K287" s="15">
        <v>0</v>
      </c>
      <c r="L287" s="15">
        <v>0</v>
      </c>
      <c r="M287" s="15">
        <v>0</v>
      </c>
      <c r="N287" s="15">
        <v>0</v>
      </c>
    </row>
    <row r="288" spans="1:14" x14ac:dyDescent="0.25">
      <c r="A288" s="10" t="s">
        <v>372</v>
      </c>
      <c r="B288" s="15">
        <v>0</v>
      </c>
      <c r="C288" s="15">
        <v>0</v>
      </c>
      <c r="D288" s="15">
        <v>0</v>
      </c>
      <c r="E288" s="15">
        <v>0</v>
      </c>
      <c r="F288" s="15">
        <v>0</v>
      </c>
      <c r="G288" s="15">
        <v>0</v>
      </c>
      <c r="H288" s="15">
        <v>0</v>
      </c>
      <c r="I288" s="15">
        <v>0</v>
      </c>
      <c r="J288" s="15">
        <v>0</v>
      </c>
      <c r="K288" s="15">
        <v>0</v>
      </c>
      <c r="L288" s="15">
        <v>0</v>
      </c>
      <c r="M288" s="15">
        <v>0</v>
      </c>
      <c r="N288" s="15">
        <v>0</v>
      </c>
    </row>
    <row r="289" spans="1:14" x14ac:dyDescent="0.25">
      <c r="A289" s="10" t="s">
        <v>374</v>
      </c>
      <c r="B289" s="15">
        <v>0</v>
      </c>
      <c r="C289" s="15">
        <v>0</v>
      </c>
      <c r="D289" s="15">
        <v>0</v>
      </c>
      <c r="E289" s="15">
        <v>0</v>
      </c>
      <c r="F289" s="15">
        <v>0</v>
      </c>
      <c r="G289" s="15">
        <v>0</v>
      </c>
      <c r="H289" s="15">
        <v>0</v>
      </c>
      <c r="I289" s="15">
        <v>0</v>
      </c>
      <c r="J289" s="15">
        <v>0</v>
      </c>
      <c r="K289" s="15">
        <v>0</v>
      </c>
      <c r="L289" s="15">
        <v>0</v>
      </c>
      <c r="M289" s="15">
        <v>0</v>
      </c>
      <c r="N289" s="15">
        <v>0</v>
      </c>
    </row>
    <row r="290" spans="1:14" x14ac:dyDescent="0.25">
      <c r="A290" s="10" t="s">
        <v>374</v>
      </c>
      <c r="B290" s="15">
        <v>0</v>
      </c>
      <c r="C290" s="15">
        <v>0</v>
      </c>
      <c r="D290" s="15">
        <v>0</v>
      </c>
      <c r="E290" s="15">
        <v>0</v>
      </c>
      <c r="F290" s="15">
        <v>0</v>
      </c>
      <c r="G290" s="15">
        <v>0</v>
      </c>
      <c r="H290" s="15">
        <v>0</v>
      </c>
      <c r="I290" s="15">
        <v>0</v>
      </c>
      <c r="J290" s="15">
        <v>0</v>
      </c>
      <c r="K290" s="15">
        <v>0</v>
      </c>
      <c r="L290" s="15">
        <v>0</v>
      </c>
      <c r="M290" s="15">
        <v>0</v>
      </c>
      <c r="N290" s="15">
        <v>0</v>
      </c>
    </row>
    <row r="291" spans="1:14" x14ac:dyDescent="0.25">
      <c r="A291" s="10" t="s">
        <v>376</v>
      </c>
      <c r="B291" s="15">
        <v>0</v>
      </c>
      <c r="C291" s="15">
        <v>0</v>
      </c>
      <c r="D291" s="15">
        <v>0</v>
      </c>
      <c r="E291" s="15">
        <v>0</v>
      </c>
      <c r="F291" s="15">
        <v>0</v>
      </c>
      <c r="G291" s="15">
        <v>0</v>
      </c>
      <c r="H291" s="15">
        <v>0</v>
      </c>
      <c r="I291" s="15">
        <v>0</v>
      </c>
      <c r="J291" s="15">
        <v>0</v>
      </c>
      <c r="K291" s="15">
        <v>0</v>
      </c>
      <c r="L291" s="15">
        <v>0</v>
      </c>
      <c r="M291" s="15">
        <v>0</v>
      </c>
      <c r="N291" s="15">
        <v>0</v>
      </c>
    </row>
    <row r="292" spans="1:14" x14ac:dyDescent="0.25">
      <c r="A292" s="10" t="s">
        <v>376</v>
      </c>
      <c r="B292" s="15">
        <v>0</v>
      </c>
      <c r="C292" s="15">
        <v>0</v>
      </c>
      <c r="D292" s="15">
        <v>0</v>
      </c>
      <c r="E292" s="15">
        <v>0</v>
      </c>
      <c r="F292" s="15">
        <v>0</v>
      </c>
      <c r="G292" s="15">
        <v>0</v>
      </c>
      <c r="H292" s="15">
        <v>0</v>
      </c>
      <c r="I292" s="15">
        <v>0</v>
      </c>
      <c r="J292" s="15">
        <v>0</v>
      </c>
      <c r="K292" s="15">
        <v>0</v>
      </c>
      <c r="L292" s="15">
        <v>0</v>
      </c>
      <c r="M292" s="15">
        <v>0</v>
      </c>
      <c r="N292" s="15">
        <v>0</v>
      </c>
    </row>
    <row r="293" spans="1:14" x14ac:dyDescent="0.25">
      <c r="A293" s="10" t="s">
        <v>378</v>
      </c>
      <c r="B293" s="15">
        <v>0</v>
      </c>
      <c r="C293" s="15">
        <v>0</v>
      </c>
      <c r="D293" s="15">
        <v>0</v>
      </c>
      <c r="E293" s="15">
        <v>0</v>
      </c>
      <c r="F293" s="15">
        <v>0</v>
      </c>
      <c r="G293" s="15">
        <v>0</v>
      </c>
      <c r="H293" s="15">
        <v>0</v>
      </c>
      <c r="I293" s="15">
        <v>0</v>
      </c>
      <c r="J293" s="15">
        <v>0</v>
      </c>
      <c r="K293" s="15">
        <v>0</v>
      </c>
      <c r="L293" s="15">
        <v>0</v>
      </c>
      <c r="M293" s="15">
        <v>0</v>
      </c>
      <c r="N293" s="15">
        <v>0</v>
      </c>
    </row>
    <row r="294" spans="1:14" x14ac:dyDescent="0.25">
      <c r="A294" s="10" t="s">
        <v>378</v>
      </c>
      <c r="B294" s="15">
        <v>0</v>
      </c>
      <c r="C294" s="15">
        <v>0</v>
      </c>
      <c r="D294" s="15">
        <v>0</v>
      </c>
      <c r="E294" s="15">
        <v>0</v>
      </c>
      <c r="F294" s="15">
        <v>0</v>
      </c>
      <c r="G294" s="15">
        <v>0</v>
      </c>
      <c r="H294" s="15">
        <v>0</v>
      </c>
      <c r="I294" s="15">
        <v>0</v>
      </c>
      <c r="J294" s="15">
        <v>0</v>
      </c>
      <c r="K294" s="15">
        <v>0</v>
      </c>
      <c r="L294" s="15">
        <v>0</v>
      </c>
      <c r="M294" s="15">
        <v>0</v>
      </c>
      <c r="N294" s="15">
        <v>0</v>
      </c>
    </row>
    <row r="295" spans="1:14" x14ac:dyDescent="0.25">
      <c r="A295" s="10" t="s">
        <v>380</v>
      </c>
      <c r="B295" s="15">
        <v>0</v>
      </c>
      <c r="C295" s="15">
        <v>0</v>
      </c>
      <c r="D295" s="15">
        <v>0</v>
      </c>
      <c r="E295" s="15">
        <v>0</v>
      </c>
      <c r="F295" s="15">
        <v>0</v>
      </c>
      <c r="G295" s="15">
        <v>0</v>
      </c>
      <c r="H295" s="15">
        <v>0</v>
      </c>
      <c r="I295" s="15">
        <v>0</v>
      </c>
      <c r="J295" s="15">
        <v>0</v>
      </c>
      <c r="K295" s="15">
        <v>0</v>
      </c>
      <c r="L295" s="15">
        <v>0</v>
      </c>
      <c r="M295" s="15">
        <v>0</v>
      </c>
      <c r="N295" s="15">
        <v>0</v>
      </c>
    </row>
    <row r="296" spans="1:14" x14ac:dyDescent="0.25">
      <c r="A296" s="10" t="s">
        <v>380</v>
      </c>
      <c r="B296" s="15">
        <v>0</v>
      </c>
      <c r="C296" s="15">
        <v>0</v>
      </c>
      <c r="D296" s="15">
        <v>0</v>
      </c>
      <c r="E296" s="15">
        <v>0</v>
      </c>
      <c r="F296" s="15">
        <v>0</v>
      </c>
      <c r="G296" s="15">
        <v>0</v>
      </c>
      <c r="H296" s="15">
        <v>0</v>
      </c>
      <c r="I296" s="15">
        <v>0</v>
      </c>
      <c r="J296" s="15">
        <v>0</v>
      </c>
      <c r="K296" s="15">
        <v>0</v>
      </c>
      <c r="L296" s="15">
        <v>0</v>
      </c>
      <c r="M296" s="15">
        <v>0</v>
      </c>
      <c r="N296" s="15">
        <v>0</v>
      </c>
    </row>
    <row r="297" spans="1:14" x14ac:dyDescent="0.25">
      <c r="A297" s="10" t="s">
        <v>382</v>
      </c>
      <c r="B297" s="15">
        <v>0</v>
      </c>
      <c r="C297" s="15">
        <v>0</v>
      </c>
      <c r="D297" s="15">
        <v>0</v>
      </c>
      <c r="E297" s="15">
        <v>0</v>
      </c>
      <c r="F297" s="15">
        <v>0</v>
      </c>
      <c r="G297" s="15">
        <v>0</v>
      </c>
      <c r="H297" s="15">
        <v>0</v>
      </c>
      <c r="I297" s="15">
        <v>0</v>
      </c>
      <c r="J297" s="15">
        <v>0</v>
      </c>
      <c r="K297" s="15">
        <v>0</v>
      </c>
      <c r="L297" s="15">
        <v>0</v>
      </c>
      <c r="M297" s="15">
        <v>0</v>
      </c>
      <c r="N297" s="15">
        <v>0</v>
      </c>
    </row>
    <row r="298" spans="1:14" x14ac:dyDescent="0.25">
      <c r="A298" s="10" t="s">
        <v>382</v>
      </c>
      <c r="B298" s="15">
        <v>0</v>
      </c>
      <c r="C298" s="15">
        <v>0</v>
      </c>
      <c r="D298" s="15">
        <v>0</v>
      </c>
      <c r="E298" s="15">
        <v>0</v>
      </c>
      <c r="F298" s="15">
        <v>0</v>
      </c>
      <c r="G298" s="15">
        <v>0</v>
      </c>
      <c r="H298" s="15">
        <v>0</v>
      </c>
      <c r="I298" s="15">
        <v>0</v>
      </c>
      <c r="J298" s="15">
        <v>0</v>
      </c>
      <c r="K298" s="15">
        <v>0</v>
      </c>
      <c r="L298" s="15">
        <v>0</v>
      </c>
      <c r="M298" s="15">
        <v>0</v>
      </c>
      <c r="N298" s="15">
        <v>0</v>
      </c>
    </row>
    <row r="299" spans="1:14" x14ac:dyDescent="0.25">
      <c r="A299" s="10" t="s">
        <v>384</v>
      </c>
      <c r="B299" s="15">
        <v>0</v>
      </c>
      <c r="C299" s="15">
        <v>0</v>
      </c>
      <c r="D299" s="15">
        <v>0</v>
      </c>
      <c r="E299" s="15">
        <v>0</v>
      </c>
      <c r="F299" s="15">
        <v>0</v>
      </c>
      <c r="G299" s="15">
        <v>0</v>
      </c>
      <c r="H299" s="15">
        <v>0</v>
      </c>
      <c r="I299" s="15">
        <v>0</v>
      </c>
      <c r="J299" s="15">
        <v>0</v>
      </c>
      <c r="K299" s="15">
        <v>0</v>
      </c>
      <c r="L299" s="15">
        <v>0</v>
      </c>
      <c r="M299" s="15">
        <v>0</v>
      </c>
      <c r="N299" s="15">
        <v>0</v>
      </c>
    </row>
    <row r="300" spans="1:14" x14ac:dyDescent="0.25">
      <c r="A300" s="10" t="s">
        <v>384</v>
      </c>
      <c r="B300" s="15">
        <v>0</v>
      </c>
      <c r="C300" s="15">
        <v>0</v>
      </c>
      <c r="D300" s="15">
        <v>0</v>
      </c>
      <c r="E300" s="15">
        <v>0</v>
      </c>
      <c r="F300" s="15">
        <v>0</v>
      </c>
      <c r="G300" s="15">
        <v>0</v>
      </c>
      <c r="H300" s="15">
        <v>0</v>
      </c>
      <c r="I300" s="15">
        <v>0</v>
      </c>
      <c r="J300" s="15">
        <v>0</v>
      </c>
      <c r="K300" s="15">
        <v>0</v>
      </c>
      <c r="L300" s="15">
        <v>0</v>
      </c>
      <c r="M300" s="15">
        <v>0</v>
      </c>
      <c r="N300" s="15">
        <v>0</v>
      </c>
    </row>
    <row r="301" spans="1:14" x14ac:dyDescent="0.25">
      <c r="A301" s="10" t="s">
        <v>386</v>
      </c>
      <c r="B301" s="15">
        <v>0</v>
      </c>
      <c r="C301" s="15">
        <v>0</v>
      </c>
      <c r="D301" s="15">
        <v>0</v>
      </c>
      <c r="E301" s="15">
        <v>0</v>
      </c>
      <c r="F301" s="15">
        <v>0</v>
      </c>
      <c r="G301" s="15">
        <v>0</v>
      </c>
      <c r="H301" s="15">
        <v>0</v>
      </c>
      <c r="I301" s="15">
        <v>0</v>
      </c>
      <c r="J301" s="15">
        <v>0</v>
      </c>
      <c r="K301" s="15">
        <v>0</v>
      </c>
      <c r="L301" s="15">
        <v>0</v>
      </c>
      <c r="M301" s="15">
        <v>0</v>
      </c>
      <c r="N301" s="15">
        <v>0</v>
      </c>
    </row>
    <row r="302" spans="1:14" x14ac:dyDescent="0.25">
      <c r="A302" s="10" t="s">
        <v>386</v>
      </c>
      <c r="B302" s="15">
        <v>0</v>
      </c>
      <c r="C302" s="15">
        <v>0</v>
      </c>
      <c r="D302" s="15">
        <v>0</v>
      </c>
      <c r="E302" s="15">
        <v>0</v>
      </c>
      <c r="F302" s="15">
        <v>0</v>
      </c>
      <c r="G302" s="15">
        <v>0</v>
      </c>
      <c r="H302" s="15">
        <v>0</v>
      </c>
      <c r="I302" s="15">
        <v>0</v>
      </c>
      <c r="J302" s="15">
        <v>0</v>
      </c>
      <c r="K302" s="15">
        <v>0</v>
      </c>
      <c r="L302" s="15">
        <v>0</v>
      </c>
      <c r="M302" s="15">
        <v>0</v>
      </c>
      <c r="N302" s="15">
        <v>0</v>
      </c>
    </row>
    <row r="303" spans="1:14" x14ac:dyDescent="0.25">
      <c r="A303" s="10" t="s">
        <v>388</v>
      </c>
      <c r="B303" s="15">
        <v>0</v>
      </c>
      <c r="C303" s="15">
        <v>0</v>
      </c>
      <c r="D303" s="15">
        <v>0</v>
      </c>
      <c r="E303" s="15">
        <v>0</v>
      </c>
      <c r="F303" s="15">
        <v>0</v>
      </c>
      <c r="G303" s="15">
        <v>0</v>
      </c>
      <c r="H303" s="15">
        <v>0</v>
      </c>
      <c r="I303" s="15">
        <v>0</v>
      </c>
      <c r="J303" s="15">
        <v>0</v>
      </c>
      <c r="K303" s="15">
        <v>0</v>
      </c>
      <c r="L303" s="15">
        <v>0</v>
      </c>
      <c r="M303" s="15">
        <v>0</v>
      </c>
      <c r="N303" s="15">
        <v>0</v>
      </c>
    </row>
    <row r="304" spans="1:14" x14ac:dyDescent="0.25">
      <c r="A304" s="10" t="s">
        <v>388</v>
      </c>
      <c r="B304" s="15">
        <v>0</v>
      </c>
      <c r="C304" s="15">
        <v>0</v>
      </c>
      <c r="D304" s="15">
        <v>0</v>
      </c>
      <c r="E304" s="15">
        <v>0</v>
      </c>
      <c r="F304" s="15">
        <v>0</v>
      </c>
      <c r="G304" s="15">
        <v>0</v>
      </c>
      <c r="H304" s="15">
        <v>0</v>
      </c>
      <c r="I304" s="15">
        <v>0</v>
      </c>
      <c r="J304" s="15">
        <v>0</v>
      </c>
      <c r="K304" s="15">
        <v>0</v>
      </c>
      <c r="L304" s="15">
        <v>0</v>
      </c>
      <c r="M304" s="15">
        <v>0</v>
      </c>
      <c r="N304" s="15">
        <v>0</v>
      </c>
    </row>
    <row r="305" spans="1:14" x14ac:dyDescent="0.25">
      <c r="A305" s="10" t="s">
        <v>390</v>
      </c>
      <c r="B305" s="15">
        <v>0</v>
      </c>
      <c r="C305" s="15">
        <v>0</v>
      </c>
      <c r="D305" s="15">
        <v>0</v>
      </c>
      <c r="E305" s="15">
        <v>0</v>
      </c>
      <c r="F305" s="15">
        <v>0</v>
      </c>
      <c r="G305" s="15">
        <v>0</v>
      </c>
      <c r="H305" s="15">
        <v>0</v>
      </c>
      <c r="I305" s="15">
        <v>0</v>
      </c>
      <c r="J305" s="15">
        <v>0</v>
      </c>
      <c r="K305" s="15">
        <v>0</v>
      </c>
      <c r="L305" s="15">
        <v>0</v>
      </c>
      <c r="M305" s="15">
        <v>0</v>
      </c>
      <c r="N305" s="15">
        <v>0</v>
      </c>
    </row>
    <row r="306" spans="1:14" x14ac:dyDescent="0.25">
      <c r="A306" s="10" t="s">
        <v>390</v>
      </c>
      <c r="B306" s="15">
        <v>0</v>
      </c>
      <c r="C306" s="15">
        <v>0</v>
      </c>
      <c r="D306" s="15">
        <v>0</v>
      </c>
      <c r="E306" s="15">
        <v>0</v>
      </c>
      <c r="F306" s="15">
        <v>0</v>
      </c>
      <c r="G306" s="15">
        <v>0</v>
      </c>
      <c r="H306" s="15">
        <v>0</v>
      </c>
      <c r="I306" s="15">
        <v>0</v>
      </c>
      <c r="J306" s="15">
        <v>0</v>
      </c>
      <c r="K306" s="15">
        <v>0</v>
      </c>
      <c r="L306" s="15">
        <v>0</v>
      </c>
      <c r="M306" s="15">
        <v>0</v>
      </c>
      <c r="N306" s="15">
        <v>0</v>
      </c>
    </row>
    <row r="307" spans="1:14" x14ac:dyDescent="0.25">
      <c r="A307" s="10" t="s">
        <v>392</v>
      </c>
      <c r="B307" s="15">
        <v>0</v>
      </c>
      <c r="C307" s="15">
        <v>0</v>
      </c>
      <c r="D307" s="15">
        <v>0</v>
      </c>
      <c r="E307" s="15">
        <v>0</v>
      </c>
      <c r="F307" s="15">
        <v>0</v>
      </c>
      <c r="G307" s="15">
        <v>0</v>
      </c>
      <c r="H307" s="15">
        <v>0</v>
      </c>
      <c r="I307" s="15">
        <v>0</v>
      </c>
      <c r="J307" s="15">
        <v>0</v>
      </c>
      <c r="K307" s="15">
        <v>0</v>
      </c>
      <c r="L307" s="15">
        <v>0</v>
      </c>
      <c r="M307" s="15">
        <v>0</v>
      </c>
      <c r="N307" s="15">
        <v>0</v>
      </c>
    </row>
    <row r="308" spans="1:14" x14ac:dyDescent="0.25">
      <c r="A308" s="10" t="s">
        <v>392</v>
      </c>
      <c r="B308" s="15">
        <v>0</v>
      </c>
      <c r="C308" s="15">
        <v>0</v>
      </c>
      <c r="D308" s="15">
        <v>0</v>
      </c>
      <c r="E308" s="15">
        <v>0</v>
      </c>
      <c r="F308" s="15">
        <v>0</v>
      </c>
      <c r="G308" s="15">
        <v>0</v>
      </c>
      <c r="H308" s="15">
        <v>0</v>
      </c>
      <c r="I308" s="15">
        <v>0</v>
      </c>
      <c r="J308" s="15">
        <v>0</v>
      </c>
      <c r="K308" s="15">
        <v>0</v>
      </c>
      <c r="L308" s="15">
        <v>0</v>
      </c>
      <c r="M308" s="15">
        <v>0</v>
      </c>
      <c r="N308" s="15">
        <v>0</v>
      </c>
    </row>
    <row r="309" spans="1:14" x14ac:dyDescent="0.25">
      <c r="A309" s="10" t="s">
        <v>394</v>
      </c>
      <c r="B309" s="15">
        <v>0</v>
      </c>
      <c r="C309" s="15">
        <v>0</v>
      </c>
      <c r="D309" s="15">
        <v>0</v>
      </c>
      <c r="E309" s="15">
        <v>0</v>
      </c>
      <c r="F309" s="15">
        <v>0</v>
      </c>
      <c r="G309" s="15">
        <v>0</v>
      </c>
      <c r="H309" s="15">
        <v>0</v>
      </c>
      <c r="I309" s="15">
        <v>0</v>
      </c>
      <c r="J309" s="15">
        <v>0</v>
      </c>
      <c r="K309" s="15">
        <v>0</v>
      </c>
      <c r="L309" s="15">
        <v>0</v>
      </c>
      <c r="M309" s="15">
        <v>0</v>
      </c>
      <c r="N309" s="15">
        <v>0</v>
      </c>
    </row>
    <row r="310" spans="1:14" x14ac:dyDescent="0.25">
      <c r="A310" s="10" t="s">
        <v>394</v>
      </c>
      <c r="B310" s="15">
        <v>0</v>
      </c>
      <c r="C310" s="15">
        <v>0</v>
      </c>
      <c r="D310" s="15">
        <v>0</v>
      </c>
      <c r="E310" s="15">
        <v>0</v>
      </c>
      <c r="F310" s="15">
        <v>0</v>
      </c>
      <c r="G310" s="15">
        <v>0</v>
      </c>
      <c r="H310" s="15">
        <v>0</v>
      </c>
      <c r="I310" s="15">
        <v>0</v>
      </c>
      <c r="J310" s="15">
        <v>0</v>
      </c>
      <c r="K310" s="15">
        <v>0</v>
      </c>
      <c r="L310" s="15">
        <v>0</v>
      </c>
      <c r="M310" s="15">
        <v>0</v>
      </c>
      <c r="N310" s="15">
        <v>0</v>
      </c>
    </row>
    <row r="311" spans="1:14" x14ac:dyDescent="0.25">
      <c r="A311" s="10" t="s">
        <v>396</v>
      </c>
      <c r="B311" s="15">
        <v>0</v>
      </c>
      <c r="C311" s="15">
        <v>0</v>
      </c>
      <c r="D311" s="15">
        <v>0</v>
      </c>
      <c r="E311" s="15">
        <v>0</v>
      </c>
      <c r="F311" s="15">
        <v>0</v>
      </c>
      <c r="G311" s="15">
        <v>0</v>
      </c>
      <c r="H311" s="15">
        <v>0</v>
      </c>
      <c r="I311" s="15">
        <v>0</v>
      </c>
      <c r="J311" s="15">
        <v>0</v>
      </c>
      <c r="K311" s="15">
        <v>0</v>
      </c>
      <c r="L311" s="15">
        <v>0</v>
      </c>
      <c r="M311" s="15">
        <v>0</v>
      </c>
      <c r="N311" s="15">
        <v>0</v>
      </c>
    </row>
    <row r="312" spans="1:14" x14ac:dyDescent="0.25">
      <c r="A312" s="10" t="s">
        <v>396</v>
      </c>
      <c r="B312" s="15">
        <v>0</v>
      </c>
      <c r="C312" s="15">
        <v>0</v>
      </c>
      <c r="D312" s="15">
        <v>0</v>
      </c>
      <c r="E312" s="15">
        <v>0</v>
      </c>
      <c r="F312" s="15">
        <v>0</v>
      </c>
      <c r="G312" s="15">
        <v>0</v>
      </c>
      <c r="H312" s="15">
        <v>0</v>
      </c>
      <c r="I312" s="15">
        <v>0</v>
      </c>
      <c r="J312" s="15">
        <v>0</v>
      </c>
      <c r="K312" s="15">
        <v>0</v>
      </c>
      <c r="L312" s="15">
        <v>0</v>
      </c>
      <c r="M312" s="15">
        <v>0</v>
      </c>
      <c r="N312" s="15">
        <v>0</v>
      </c>
    </row>
    <row r="313" spans="1:14" x14ac:dyDescent="0.25">
      <c r="A313" s="10" t="s">
        <v>398</v>
      </c>
      <c r="B313" s="15">
        <v>0</v>
      </c>
      <c r="C313" s="15">
        <v>0</v>
      </c>
      <c r="D313" s="15">
        <v>0</v>
      </c>
      <c r="E313" s="15">
        <v>0</v>
      </c>
      <c r="F313" s="15">
        <v>0</v>
      </c>
      <c r="G313" s="15">
        <v>0</v>
      </c>
      <c r="H313" s="15">
        <v>0</v>
      </c>
      <c r="I313" s="15">
        <v>0</v>
      </c>
      <c r="J313" s="15">
        <v>0</v>
      </c>
      <c r="K313" s="15">
        <v>0</v>
      </c>
      <c r="L313" s="15">
        <v>0</v>
      </c>
      <c r="M313" s="15">
        <v>0</v>
      </c>
      <c r="N313" s="15">
        <v>0</v>
      </c>
    </row>
    <row r="314" spans="1:14" x14ac:dyDescent="0.25">
      <c r="A314" s="10" t="s">
        <v>398</v>
      </c>
      <c r="B314" s="15">
        <v>0</v>
      </c>
      <c r="C314" s="15">
        <v>0</v>
      </c>
      <c r="D314" s="15">
        <v>0</v>
      </c>
      <c r="E314" s="15">
        <v>0</v>
      </c>
      <c r="F314" s="15">
        <v>0</v>
      </c>
      <c r="G314" s="15">
        <v>0</v>
      </c>
      <c r="H314" s="15">
        <v>0</v>
      </c>
      <c r="I314" s="15">
        <v>0</v>
      </c>
      <c r="J314" s="15">
        <v>0</v>
      </c>
      <c r="K314" s="15">
        <v>0</v>
      </c>
      <c r="L314" s="15">
        <v>0</v>
      </c>
      <c r="M314" s="15">
        <v>0</v>
      </c>
      <c r="N314" s="15">
        <v>0</v>
      </c>
    </row>
    <row r="315" spans="1:14" x14ac:dyDescent="0.25">
      <c r="A315" s="10" t="s">
        <v>400</v>
      </c>
      <c r="B315" s="15">
        <v>0</v>
      </c>
      <c r="C315" s="15">
        <v>0</v>
      </c>
      <c r="D315" s="15">
        <v>0</v>
      </c>
      <c r="E315" s="15">
        <v>0</v>
      </c>
      <c r="F315" s="15">
        <v>0</v>
      </c>
      <c r="G315" s="15">
        <v>0</v>
      </c>
      <c r="H315" s="15">
        <v>0</v>
      </c>
      <c r="I315" s="15">
        <v>0</v>
      </c>
      <c r="J315" s="15">
        <v>0</v>
      </c>
      <c r="K315" s="15">
        <v>0</v>
      </c>
      <c r="L315" s="15">
        <v>0</v>
      </c>
      <c r="M315" s="15">
        <v>0</v>
      </c>
      <c r="N315" s="15">
        <v>0</v>
      </c>
    </row>
    <row r="316" spans="1:14" x14ac:dyDescent="0.25">
      <c r="A316" s="10" t="s">
        <v>400</v>
      </c>
      <c r="B316" s="15">
        <v>0</v>
      </c>
      <c r="C316" s="15">
        <v>0</v>
      </c>
      <c r="D316" s="15">
        <v>0</v>
      </c>
      <c r="E316" s="15">
        <v>0</v>
      </c>
      <c r="F316" s="15">
        <v>0</v>
      </c>
      <c r="G316" s="15">
        <v>0</v>
      </c>
      <c r="H316" s="15">
        <v>0</v>
      </c>
      <c r="I316" s="15">
        <v>0</v>
      </c>
      <c r="J316" s="15">
        <v>0</v>
      </c>
      <c r="K316" s="15">
        <v>0</v>
      </c>
      <c r="L316" s="15">
        <v>0</v>
      </c>
      <c r="M316" s="15">
        <v>0</v>
      </c>
      <c r="N316" s="15">
        <v>0</v>
      </c>
    </row>
    <row r="317" spans="1:14" x14ac:dyDescent="0.25">
      <c r="A317" s="10" t="s">
        <v>402</v>
      </c>
      <c r="B317" s="15">
        <v>0</v>
      </c>
      <c r="C317" s="15">
        <v>0</v>
      </c>
      <c r="D317" s="15">
        <v>0</v>
      </c>
      <c r="E317" s="15">
        <v>0</v>
      </c>
      <c r="F317" s="15">
        <v>0</v>
      </c>
      <c r="G317" s="15">
        <v>0</v>
      </c>
      <c r="H317" s="15">
        <v>0</v>
      </c>
      <c r="I317" s="15">
        <v>0</v>
      </c>
      <c r="J317" s="15">
        <v>0</v>
      </c>
      <c r="K317" s="15">
        <v>0</v>
      </c>
      <c r="L317" s="15">
        <v>0</v>
      </c>
      <c r="M317" s="15">
        <v>0</v>
      </c>
      <c r="N317" s="15">
        <v>0</v>
      </c>
    </row>
    <row r="318" spans="1:14" x14ac:dyDescent="0.25">
      <c r="A318" s="10" t="s">
        <v>402</v>
      </c>
      <c r="B318" s="15">
        <v>0</v>
      </c>
      <c r="C318" s="15">
        <v>0</v>
      </c>
      <c r="D318" s="15">
        <v>0</v>
      </c>
      <c r="E318" s="15">
        <v>0</v>
      </c>
      <c r="F318" s="15">
        <v>0</v>
      </c>
      <c r="G318" s="15">
        <v>0</v>
      </c>
      <c r="H318" s="15">
        <v>0</v>
      </c>
      <c r="I318" s="15">
        <v>0</v>
      </c>
      <c r="J318" s="15">
        <v>0</v>
      </c>
      <c r="K318" s="15">
        <v>0</v>
      </c>
      <c r="L318" s="15">
        <v>0</v>
      </c>
      <c r="M318" s="15">
        <v>0</v>
      </c>
      <c r="N318" s="15">
        <v>0</v>
      </c>
    </row>
    <row r="319" spans="1:14" x14ac:dyDescent="0.25">
      <c r="A319" s="10" t="s">
        <v>404</v>
      </c>
      <c r="B319" s="15">
        <v>0</v>
      </c>
      <c r="C319" s="15">
        <v>0</v>
      </c>
      <c r="D319" s="15">
        <v>0</v>
      </c>
      <c r="E319" s="15">
        <v>0</v>
      </c>
      <c r="F319" s="15">
        <v>0</v>
      </c>
      <c r="G319" s="15">
        <v>0</v>
      </c>
      <c r="H319" s="15">
        <v>0</v>
      </c>
      <c r="I319" s="15">
        <v>0</v>
      </c>
      <c r="J319" s="15">
        <v>0</v>
      </c>
      <c r="K319" s="15">
        <v>0</v>
      </c>
      <c r="L319" s="15">
        <v>0</v>
      </c>
      <c r="M319" s="15">
        <v>0</v>
      </c>
      <c r="N319" s="15">
        <v>0</v>
      </c>
    </row>
    <row r="320" spans="1:14" x14ac:dyDescent="0.25">
      <c r="A320" s="10" t="s">
        <v>404</v>
      </c>
      <c r="B320" s="15">
        <v>0</v>
      </c>
      <c r="C320" s="15">
        <v>0</v>
      </c>
      <c r="D320" s="15">
        <v>0</v>
      </c>
      <c r="E320" s="15">
        <v>0</v>
      </c>
      <c r="F320" s="15">
        <v>0</v>
      </c>
      <c r="G320" s="15">
        <v>0</v>
      </c>
      <c r="H320" s="15">
        <v>0</v>
      </c>
      <c r="I320" s="15">
        <v>0</v>
      </c>
      <c r="J320" s="15">
        <v>0</v>
      </c>
      <c r="K320" s="15">
        <v>0</v>
      </c>
      <c r="L320" s="15">
        <v>0</v>
      </c>
      <c r="M320" s="15">
        <v>0</v>
      </c>
      <c r="N320" s="15">
        <v>0</v>
      </c>
    </row>
    <row r="321" spans="1:14" x14ac:dyDescent="0.25">
      <c r="A321" s="10" t="s">
        <v>406</v>
      </c>
      <c r="B321" s="15">
        <v>0</v>
      </c>
      <c r="C321" s="15">
        <v>0</v>
      </c>
      <c r="D321" s="15">
        <v>0</v>
      </c>
      <c r="E321" s="15">
        <v>0</v>
      </c>
      <c r="F321" s="15">
        <v>0</v>
      </c>
      <c r="G321" s="15">
        <v>0</v>
      </c>
      <c r="H321" s="15">
        <v>0</v>
      </c>
      <c r="I321" s="15">
        <v>0</v>
      </c>
      <c r="J321" s="15">
        <v>0</v>
      </c>
      <c r="K321" s="15">
        <v>0</v>
      </c>
      <c r="L321" s="15">
        <v>0</v>
      </c>
      <c r="M321" s="15">
        <v>0</v>
      </c>
      <c r="N321" s="15">
        <v>0</v>
      </c>
    </row>
    <row r="322" spans="1:14" x14ac:dyDescent="0.25">
      <c r="A322" s="10" t="s">
        <v>406</v>
      </c>
      <c r="B322" s="15">
        <v>0</v>
      </c>
      <c r="C322" s="15">
        <v>0</v>
      </c>
      <c r="D322" s="15">
        <v>0</v>
      </c>
      <c r="E322" s="15">
        <v>0</v>
      </c>
      <c r="F322" s="15">
        <v>0</v>
      </c>
      <c r="G322" s="15">
        <v>0</v>
      </c>
      <c r="H322" s="15">
        <v>0</v>
      </c>
      <c r="I322" s="15">
        <v>0</v>
      </c>
      <c r="J322" s="15">
        <v>0</v>
      </c>
      <c r="K322" s="15">
        <v>0</v>
      </c>
      <c r="L322" s="15">
        <v>0</v>
      </c>
      <c r="M322" s="15">
        <v>0</v>
      </c>
      <c r="N322" s="15">
        <v>0</v>
      </c>
    </row>
    <row r="323" spans="1:14" x14ac:dyDescent="0.25">
      <c r="A323" s="10" t="s">
        <v>408</v>
      </c>
      <c r="B323" s="15">
        <v>0</v>
      </c>
      <c r="C323" s="15">
        <v>0</v>
      </c>
      <c r="D323" s="15">
        <v>0</v>
      </c>
      <c r="E323" s="15">
        <v>0</v>
      </c>
      <c r="F323" s="15">
        <v>0</v>
      </c>
      <c r="G323" s="15">
        <v>0</v>
      </c>
      <c r="H323" s="15">
        <v>0</v>
      </c>
      <c r="I323" s="15">
        <v>0</v>
      </c>
      <c r="J323" s="15">
        <v>0</v>
      </c>
      <c r="K323" s="15">
        <v>0</v>
      </c>
      <c r="L323" s="15">
        <v>0</v>
      </c>
      <c r="M323" s="15">
        <v>0</v>
      </c>
      <c r="N323" s="15">
        <v>0</v>
      </c>
    </row>
    <row r="324" spans="1:14" x14ac:dyDescent="0.25">
      <c r="A324" s="10" t="s">
        <v>408</v>
      </c>
      <c r="B324" s="15">
        <v>0</v>
      </c>
      <c r="C324" s="15">
        <v>0</v>
      </c>
      <c r="D324" s="15">
        <v>0</v>
      </c>
      <c r="E324" s="15">
        <v>0</v>
      </c>
      <c r="F324" s="15">
        <v>0</v>
      </c>
      <c r="G324" s="15">
        <v>0</v>
      </c>
      <c r="H324" s="15">
        <v>0</v>
      </c>
      <c r="I324" s="15">
        <v>0</v>
      </c>
      <c r="J324" s="15">
        <v>0</v>
      </c>
      <c r="K324" s="15">
        <v>0</v>
      </c>
      <c r="L324" s="15">
        <v>0</v>
      </c>
      <c r="M324" s="15">
        <v>0</v>
      </c>
      <c r="N324" s="15">
        <v>0</v>
      </c>
    </row>
    <row r="325" spans="1:14" x14ac:dyDescent="0.25">
      <c r="A325" s="10" t="s">
        <v>410</v>
      </c>
      <c r="B325" s="15">
        <v>0</v>
      </c>
      <c r="C325" s="15">
        <v>0</v>
      </c>
      <c r="D325" s="15">
        <v>0</v>
      </c>
      <c r="E325" s="15">
        <v>0</v>
      </c>
      <c r="F325" s="15">
        <v>0</v>
      </c>
      <c r="G325" s="15">
        <v>0</v>
      </c>
      <c r="H325" s="15">
        <v>0</v>
      </c>
      <c r="I325" s="15">
        <v>0</v>
      </c>
      <c r="J325" s="15">
        <v>0</v>
      </c>
      <c r="K325" s="15">
        <v>0</v>
      </c>
      <c r="L325" s="15">
        <v>0</v>
      </c>
      <c r="M325" s="15">
        <v>0</v>
      </c>
      <c r="N325" s="15">
        <v>0</v>
      </c>
    </row>
    <row r="326" spans="1:14" x14ac:dyDescent="0.25">
      <c r="A326" s="10" t="s">
        <v>410</v>
      </c>
      <c r="B326" s="15">
        <v>0</v>
      </c>
      <c r="C326" s="15">
        <v>0</v>
      </c>
      <c r="D326" s="15">
        <v>0</v>
      </c>
      <c r="E326" s="15">
        <v>0</v>
      </c>
      <c r="F326" s="15">
        <v>0</v>
      </c>
      <c r="G326" s="15">
        <v>0</v>
      </c>
      <c r="H326" s="15">
        <v>0</v>
      </c>
      <c r="I326" s="15">
        <v>0</v>
      </c>
      <c r="J326" s="15">
        <v>0</v>
      </c>
      <c r="K326" s="15">
        <v>0</v>
      </c>
      <c r="L326" s="15">
        <v>0</v>
      </c>
      <c r="M326" s="15">
        <v>0</v>
      </c>
      <c r="N326" s="15">
        <v>0</v>
      </c>
    </row>
    <row r="327" spans="1:14" x14ac:dyDescent="0.25">
      <c r="A327" s="10" t="s">
        <v>412</v>
      </c>
      <c r="B327" s="15">
        <v>0</v>
      </c>
      <c r="C327" s="15">
        <v>0</v>
      </c>
      <c r="D327" s="15">
        <v>0</v>
      </c>
      <c r="E327" s="15">
        <v>0</v>
      </c>
      <c r="F327" s="15">
        <v>0</v>
      </c>
      <c r="G327" s="15">
        <v>0</v>
      </c>
      <c r="H327" s="15">
        <v>0</v>
      </c>
      <c r="I327" s="15">
        <v>0</v>
      </c>
      <c r="J327" s="15">
        <v>0</v>
      </c>
      <c r="K327" s="15">
        <v>0</v>
      </c>
      <c r="L327" s="15">
        <v>0</v>
      </c>
      <c r="M327" s="15">
        <v>0</v>
      </c>
      <c r="N327" s="15">
        <v>0</v>
      </c>
    </row>
    <row r="328" spans="1:14" x14ac:dyDescent="0.25">
      <c r="A328" s="10" t="s">
        <v>412</v>
      </c>
      <c r="B328" s="15">
        <v>0</v>
      </c>
      <c r="C328" s="15">
        <v>0</v>
      </c>
      <c r="D328" s="15">
        <v>0</v>
      </c>
      <c r="E328" s="15">
        <v>0</v>
      </c>
      <c r="F328" s="15">
        <v>0</v>
      </c>
      <c r="G328" s="15">
        <v>0</v>
      </c>
      <c r="H328" s="15">
        <v>0</v>
      </c>
      <c r="I328" s="15">
        <v>0</v>
      </c>
      <c r="J328" s="15">
        <v>0</v>
      </c>
      <c r="K328" s="15">
        <v>0</v>
      </c>
      <c r="L328" s="15">
        <v>0</v>
      </c>
      <c r="M328" s="15">
        <v>0</v>
      </c>
      <c r="N328" s="15">
        <v>0</v>
      </c>
    </row>
    <row r="329" spans="1:14" x14ac:dyDescent="0.25">
      <c r="A329" s="10" t="s">
        <v>414</v>
      </c>
      <c r="B329" s="15">
        <v>0</v>
      </c>
      <c r="C329" s="15">
        <v>0</v>
      </c>
      <c r="D329" s="15">
        <v>0</v>
      </c>
      <c r="E329" s="15">
        <v>0</v>
      </c>
      <c r="F329" s="15">
        <v>0</v>
      </c>
      <c r="G329" s="15">
        <v>0</v>
      </c>
      <c r="H329" s="15">
        <v>0</v>
      </c>
      <c r="I329" s="15">
        <v>0</v>
      </c>
      <c r="J329" s="15">
        <v>0</v>
      </c>
      <c r="K329" s="15">
        <v>0</v>
      </c>
      <c r="L329" s="15">
        <v>0</v>
      </c>
      <c r="M329" s="15">
        <v>0</v>
      </c>
      <c r="N329" s="15">
        <v>0</v>
      </c>
    </row>
    <row r="330" spans="1:14" x14ac:dyDescent="0.25">
      <c r="A330" s="10" t="s">
        <v>414</v>
      </c>
      <c r="B330" s="15">
        <v>0</v>
      </c>
      <c r="C330" s="15">
        <v>0</v>
      </c>
      <c r="D330" s="15">
        <v>0</v>
      </c>
      <c r="E330" s="15">
        <v>0</v>
      </c>
      <c r="F330" s="15">
        <v>0</v>
      </c>
      <c r="G330" s="15">
        <v>0</v>
      </c>
      <c r="H330" s="15">
        <v>0</v>
      </c>
      <c r="I330" s="15">
        <v>0</v>
      </c>
      <c r="J330" s="15">
        <v>0</v>
      </c>
      <c r="K330" s="15">
        <v>0</v>
      </c>
      <c r="L330" s="15">
        <v>0</v>
      </c>
      <c r="M330" s="15">
        <v>0</v>
      </c>
      <c r="N330" s="15">
        <v>0</v>
      </c>
    </row>
    <row r="331" spans="1:14" x14ac:dyDescent="0.25">
      <c r="A331" s="10" t="s">
        <v>416</v>
      </c>
      <c r="B331" s="15">
        <v>0</v>
      </c>
      <c r="C331" s="15">
        <v>0</v>
      </c>
      <c r="D331" s="15">
        <v>0</v>
      </c>
      <c r="E331" s="15">
        <v>0</v>
      </c>
      <c r="F331" s="15">
        <v>0</v>
      </c>
      <c r="G331" s="15">
        <v>0</v>
      </c>
      <c r="H331" s="15">
        <v>0</v>
      </c>
      <c r="I331" s="15">
        <v>0</v>
      </c>
      <c r="J331" s="15">
        <v>0</v>
      </c>
      <c r="K331" s="15">
        <v>0</v>
      </c>
      <c r="L331" s="15">
        <v>0</v>
      </c>
      <c r="M331" s="15">
        <v>0</v>
      </c>
      <c r="N331" s="15">
        <v>0</v>
      </c>
    </row>
    <row r="332" spans="1:14" x14ac:dyDescent="0.25">
      <c r="A332" s="10" t="s">
        <v>416</v>
      </c>
      <c r="B332" s="15">
        <v>0</v>
      </c>
      <c r="C332" s="15">
        <v>0</v>
      </c>
      <c r="D332" s="15">
        <v>0</v>
      </c>
      <c r="E332" s="15">
        <v>0</v>
      </c>
      <c r="F332" s="15">
        <v>0</v>
      </c>
      <c r="G332" s="15">
        <v>0</v>
      </c>
      <c r="H332" s="15">
        <v>0</v>
      </c>
      <c r="I332" s="15">
        <v>0</v>
      </c>
      <c r="J332" s="15">
        <v>0</v>
      </c>
      <c r="K332" s="15">
        <v>0</v>
      </c>
      <c r="L332" s="15">
        <v>0</v>
      </c>
      <c r="M332" s="15">
        <v>0</v>
      </c>
      <c r="N332" s="15">
        <v>0</v>
      </c>
    </row>
    <row r="333" spans="1:14" x14ac:dyDescent="0.25">
      <c r="A333" s="10" t="s">
        <v>418</v>
      </c>
      <c r="B333" s="15">
        <v>0</v>
      </c>
      <c r="C333" s="15">
        <v>0</v>
      </c>
      <c r="D333" s="15">
        <v>0</v>
      </c>
      <c r="E333" s="15">
        <v>0</v>
      </c>
      <c r="F333" s="15">
        <v>0</v>
      </c>
      <c r="G333" s="15">
        <v>0</v>
      </c>
      <c r="H333" s="15">
        <v>0</v>
      </c>
      <c r="I333" s="15">
        <v>0</v>
      </c>
      <c r="J333" s="15">
        <v>0</v>
      </c>
      <c r="K333" s="15">
        <v>0</v>
      </c>
      <c r="L333" s="15">
        <v>0</v>
      </c>
      <c r="M333" s="15">
        <v>0</v>
      </c>
      <c r="N333" s="15">
        <v>0</v>
      </c>
    </row>
    <row r="334" spans="1:14" x14ac:dyDescent="0.25">
      <c r="A334" s="10" t="s">
        <v>418</v>
      </c>
      <c r="B334" s="15">
        <v>0</v>
      </c>
      <c r="C334" s="15">
        <v>0</v>
      </c>
      <c r="D334" s="15">
        <v>0</v>
      </c>
      <c r="E334" s="15">
        <v>0</v>
      </c>
      <c r="F334" s="15">
        <v>0</v>
      </c>
      <c r="G334" s="15">
        <v>0</v>
      </c>
      <c r="H334" s="15">
        <v>0</v>
      </c>
      <c r="I334" s="15">
        <v>0</v>
      </c>
      <c r="J334" s="15">
        <v>0</v>
      </c>
      <c r="K334" s="15">
        <v>0</v>
      </c>
      <c r="L334" s="15">
        <v>0</v>
      </c>
      <c r="M334" s="15">
        <v>0</v>
      </c>
      <c r="N334" s="15">
        <v>0</v>
      </c>
    </row>
    <row r="335" spans="1:14" x14ac:dyDescent="0.25">
      <c r="A335" s="10" t="s">
        <v>420</v>
      </c>
      <c r="B335" s="15">
        <v>0</v>
      </c>
      <c r="C335" s="15">
        <v>0</v>
      </c>
      <c r="D335" s="15">
        <v>0</v>
      </c>
      <c r="E335" s="15">
        <v>0</v>
      </c>
      <c r="F335" s="15">
        <v>0</v>
      </c>
      <c r="G335" s="15">
        <v>0</v>
      </c>
      <c r="H335" s="15">
        <v>0</v>
      </c>
      <c r="I335" s="15">
        <v>0</v>
      </c>
      <c r="J335" s="15">
        <v>0</v>
      </c>
      <c r="K335" s="15">
        <v>0</v>
      </c>
      <c r="L335" s="15">
        <v>0</v>
      </c>
      <c r="M335" s="15">
        <v>0</v>
      </c>
      <c r="N335" s="15">
        <v>0</v>
      </c>
    </row>
    <row r="336" spans="1:14" x14ac:dyDescent="0.25">
      <c r="A336" s="10" t="s">
        <v>420</v>
      </c>
      <c r="B336" s="15">
        <v>0</v>
      </c>
      <c r="C336" s="15">
        <v>0</v>
      </c>
      <c r="D336" s="15">
        <v>0</v>
      </c>
      <c r="E336" s="15">
        <v>0</v>
      </c>
      <c r="F336" s="15">
        <v>0</v>
      </c>
      <c r="G336" s="15">
        <v>0</v>
      </c>
      <c r="H336" s="15">
        <v>0</v>
      </c>
      <c r="I336" s="15">
        <v>0</v>
      </c>
      <c r="J336" s="15">
        <v>0</v>
      </c>
      <c r="K336" s="15">
        <v>0</v>
      </c>
      <c r="L336" s="15">
        <v>0</v>
      </c>
      <c r="M336" s="15">
        <v>0</v>
      </c>
      <c r="N336" s="15">
        <v>0</v>
      </c>
    </row>
    <row r="337" spans="1:14" x14ac:dyDescent="0.25">
      <c r="A337" s="10" t="s">
        <v>422</v>
      </c>
      <c r="B337" s="15">
        <v>0</v>
      </c>
      <c r="C337" s="15">
        <v>0</v>
      </c>
      <c r="D337" s="15">
        <v>0</v>
      </c>
      <c r="E337" s="15">
        <v>0</v>
      </c>
      <c r="F337" s="15">
        <v>0</v>
      </c>
      <c r="G337" s="15">
        <v>0</v>
      </c>
      <c r="H337" s="15">
        <v>0</v>
      </c>
      <c r="I337" s="15">
        <v>0</v>
      </c>
      <c r="J337" s="15">
        <v>0</v>
      </c>
      <c r="K337" s="15">
        <v>0</v>
      </c>
      <c r="L337" s="15">
        <v>0</v>
      </c>
      <c r="M337" s="15">
        <v>0</v>
      </c>
      <c r="N337" s="15">
        <v>0</v>
      </c>
    </row>
    <row r="338" spans="1:14" x14ac:dyDescent="0.25">
      <c r="A338" s="10" t="s">
        <v>422</v>
      </c>
      <c r="B338" s="15">
        <v>0</v>
      </c>
      <c r="C338" s="15">
        <v>0</v>
      </c>
      <c r="D338" s="15">
        <v>0</v>
      </c>
      <c r="E338" s="15">
        <v>0</v>
      </c>
      <c r="F338" s="15">
        <v>0</v>
      </c>
      <c r="G338" s="15">
        <v>0</v>
      </c>
      <c r="H338" s="15">
        <v>0</v>
      </c>
      <c r="I338" s="15">
        <v>0</v>
      </c>
      <c r="J338" s="15">
        <v>0</v>
      </c>
      <c r="K338" s="15">
        <v>0</v>
      </c>
      <c r="L338" s="15">
        <v>0</v>
      </c>
      <c r="M338" s="15">
        <v>0</v>
      </c>
      <c r="N338" s="15">
        <v>0</v>
      </c>
    </row>
    <row r="339" spans="1:14" x14ac:dyDescent="0.25">
      <c r="A339" s="10" t="s">
        <v>424</v>
      </c>
      <c r="B339" s="15">
        <v>0</v>
      </c>
      <c r="C339" s="15">
        <v>0</v>
      </c>
      <c r="D339" s="15">
        <v>0</v>
      </c>
      <c r="E339" s="15">
        <v>0</v>
      </c>
      <c r="F339" s="15">
        <v>0</v>
      </c>
      <c r="G339" s="15">
        <v>0</v>
      </c>
      <c r="H339" s="15">
        <v>0</v>
      </c>
      <c r="I339" s="15">
        <v>0</v>
      </c>
      <c r="J339" s="15">
        <v>0</v>
      </c>
      <c r="K339" s="15">
        <v>0</v>
      </c>
      <c r="L339" s="15">
        <v>0</v>
      </c>
      <c r="M339" s="15">
        <v>0</v>
      </c>
      <c r="N339" s="15">
        <v>0</v>
      </c>
    </row>
    <row r="340" spans="1:14" x14ac:dyDescent="0.25">
      <c r="A340" s="10" t="s">
        <v>424</v>
      </c>
      <c r="B340" s="15">
        <v>0</v>
      </c>
      <c r="C340" s="15">
        <v>0</v>
      </c>
      <c r="D340" s="15">
        <v>0</v>
      </c>
      <c r="E340" s="15">
        <v>0</v>
      </c>
      <c r="F340" s="15">
        <v>0</v>
      </c>
      <c r="G340" s="15">
        <v>0</v>
      </c>
      <c r="H340" s="15">
        <v>0</v>
      </c>
      <c r="I340" s="15">
        <v>0</v>
      </c>
      <c r="J340" s="15">
        <v>0</v>
      </c>
      <c r="K340" s="15">
        <v>0</v>
      </c>
      <c r="L340" s="15">
        <v>0</v>
      </c>
      <c r="M340" s="15">
        <v>0</v>
      </c>
      <c r="N340" s="15">
        <v>0</v>
      </c>
    </row>
    <row r="341" spans="1:14" x14ac:dyDescent="0.25">
      <c r="A341" s="10" t="s">
        <v>426</v>
      </c>
      <c r="B341" s="15">
        <v>0</v>
      </c>
      <c r="C341" s="15">
        <v>0</v>
      </c>
      <c r="D341" s="15">
        <v>0</v>
      </c>
      <c r="E341" s="15">
        <v>0</v>
      </c>
      <c r="F341" s="15">
        <v>0</v>
      </c>
      <c r="G341" s="15">
        <v>0</v>
      </c>
      <c r="H341" s="15">
        <v>0</v>
      </c>
      <c r="I341" s="15">
        <v>0</v>
      </c>
      <c r="J341" s="15">
        <v>0</v>
      </c>
      <c r="K341" s="15">
        <v>0</v>
      </c>
      <c r="L341" s="15">
        <v>0</v>
      </c>
      <c r="M341" s="15">
        <v>0</v>
      </c>
      <c r="N341" s="15">
        <v>0</v>
      </c>
    </row>
    <row r="342" spans="1:14" x14ac:dyDescent="0.25">
      <c r="A342" s="10" t="s">
        <v>426</v>
      </c>
      <c r="B342" s="15">
        <v>0</v>
      </c>
      <c r="C342" s="15">
        <v>0</v>
      </c>
      <c r="D342" s="15">
        <v>0</v>
      </c>
      <c r="E342" s="15">
        <v>0</v>
      </c>
      <c r="F342" s="15">
        <v>0</v>
      </c>
      <c r="G342" s="15">
        <v>0</v>
      </c>
      <c r="H342" s="15">
        <v>0</v>
      </c>
      <c r="I342" s="15">
        <v>0</v>
      </c>
      <c r="J342" s="15">
        <v>0</v>
      </c>
      <c r="K342" s="15">
        <v>0</v>
      </c>
      <c r="L342" s="15">
        <v>0</v>
      </c>
      <c r="M342" s="15">
        <v>0</v>
      </c>
      <c r="N342" s="15">
        <v>0</v>
      </c>
    </row>
    <row r="343" spans="1:14" x14ac:dyDescent="0.25">
      <c r="A343" s="10" t="s">
        <v>428</v>
      </c>
      <c r="B343" s="15">
        <v>0</v>
      </c>
      <c r="C343" s="15">
        <v>0</v>
      </c>
      <c r="D343" s="15">
        <v>0</v>
      </c>
      <c r="E343" s="15">
        <v>0</v>
      </c>
      <c r="F343" s="15">
        <v>0</v>
      </c>
      <c r="G343" s="15">
        <v>0</v>
      </c>
      <c r="H343" s="15">
        <v>0</v>
      </c>
      <c r="I343" s="15">
        <v>0</v>
      </c>
      <c r="J343" s="15">
        <v>0</v>
      </c>
      <c r="K343" s="15">
        <v>0</v>
      </c>
      <c r="L343" s="15">
        <v>0</v>
      </c>
      <c r="M343" s="15">
        <v>0</v>
      </c>
      <c r="N343" s="15">
        <v>0</v>
      </c>
    </row>
    <row r="344" spans="1:14" x14ac:dyDescent="0.25">
      <c r="A344" s="10" t="s">
        <v>428</v>
      </c>
      <c r="B344" s="15">
        <v>0</v>
      </c>
      <c r="C344" s="15">
        <v>0</v>
      </c>
      <c r="D344" s="15">
        <v>0</v>
      </c>
      <c r="E344" s="15">
        <v>0</v>
      </c>
      <c r="F344" s="15">
        <v>0</v>
      </c>
      <c r="G344" s="15">
        <v>0</v>
      </c>
      <c r="H344" s="15">
        <v>0</v>
      </c>
      <c r="I344" s="15">
        <v>0</v>
      </c>
      <c r="J344" s="15">
        <v>0</v>
      </c>
      <c r="K344" s="15">
        <v>0</v>
      </c>
      <c r="L344" s="15">
        <v>0</v>
      </c>
      <c r="M344" s="15">
        <v>0</v>
      </c>
      <c r="N344" s="15">
        <v>0</v>
      </c>
    </row>
    <row r="345" spans="1:14" x14ac:dyDescent="0.25">
      <c r="A345" s="10" t="s">
        <v>430</v>
      </c>
      <c r="B345" s="15">
        <v>0</v>
      </c>
      <c r="C345" s="15">
        <v>0</v>
      </c>
      <c r="D345" s="15">
        <v>0</v>
      </c>
      <c r="E345" s="15">
        <v>0</v>
      </c>
      <c r="F345" s="15">
        <v>0</v>
      </c>
      <c r="G345" s="15">
        <v>0</v>
      </c>
      <c r="H345" s="15">
        <v>0</v>
      </c>
      <c r="I345" s="15">
        <v>0</v>
      </c>
      <c r="J345" s="15">
        <v>0</v>
      </c>
      <c r="K345" s="15">
        <v>0</v>
      </c>
      <c r="L345" s="15">
        <v>0</v>
      </c>
      <c r="M345" s="15">
        <v>0</v>
      </c>
      <c r="N345" s="15">
        <v>0</v>
      </c>
    </row>
    <row r="346" spans="1:14" x14ac:dyDescent="0.25">
      <c r="A346" s="10" t="s">
        <v>430</v>
      </c>
      <c r="B346" s="15">
        <v>0</v>
      </c>
      <c r="C346" s="15">
        <v>0</v>
      </c>
      <c r="D346" s="15">
        <v>0</v>
      </c>
      <c r="E346" s="15">
        <v>0</v>
      </c>
      <c r="F346" s="15">
        <v>0</v>
      </c>
      <c r="G346" s="15">
        <v>0</v>
      </c>
      <c r="H346" s="15">
        <v>0</v>
      </c>
      <c r="I346" s="15">
        <v>0</v>
      </c>
      <c r="J346" s="15">
        <v>0</v>
      </c>
      <c r="K346" s="15">
        <v>0</v>
      </c>
      <c r="L346" s="15">
        <v>0</v>
      </c>
      <c r="M346" s="15">
        <v>0</v>
      </c>
      <c r="N346" s="15">
        <v>0</v>
      </c>
    </row>
    <row r="347" spans="1:14" x14ac:dyDescent="0.25">
      <c r="A347" s="10" t="s">
        <v>432</v>
      </c>
      <c r="B347" s="15">
        <v>0</v>
      </c>
      <c r="C347" s="15">
        <v>0</v>
      </c>
      <c r="D347" s="15">
        <v>0</v>
      </c>
      <c r="E347" s="15">
        <v>0</v>
      </c>
      <c r="F347" s="15">
        <v>0</v>
      </c>
      <c r="G347" s="15">
        <v>0</v>
      </c>
      <c r="H347" s="15">
        <v>0</v>
      </c>
      <c r="I347" s="15">
        <v>0</v>
      </c>
      <c r="J347" s="15">
        <v>0</v>
      </c>
      <c r="K347" s="15">
        <v>0</v>
      </c>
      <c r="L347" s="15">
        <v>0</v>
      </c>
      <c r="M347" s="15">
        <v>0</v>
      </c>
      <c r="N347" s="15">
        <v>0</v>
      </c>
    </row>
    <row r="348" spans="1:14" x14ac:dyDescent="0.25">
      <c r="A348" s="10" t="s">
        <v>432</v>
      </c>
      <c r="B348" s="15">
        <v>0</v>
      </c>
      <c r="C348" s="15">
        <v>0</v>
      </c>
      <c r="D348" s="15">
        <v>0</v>
      </c>
      <c r="E348" s="15">
        <v>0</v>
      </c>
      <c r="F348" s="15">
        <v>0</v>
      </c>
      <c r="G348" s="15">
        <v>0</v>
      </c>
      <c r="H348" s="15">
        <v>0</v>
      </c>
      <c r="I348" s="15">
        <v>0</v>
      </c>
      <c r="J348" s="15">
        <v>0</v>
      </c>
      <c r="K348" s="15">
        <v>0</v>
      </c>
      <c r="L348" s="15">
        <v>0</v>
      </c>
      <c r="M348" s="15">
        <v>0</v>
      </c>
      <c r="N348" s="15">
        <v>0</v>
      </c>
    </row>
    <row r="349" spans="1:14" x14ac:dyDescent="0.25">
      <c r="A349" s="10" t="s">
        <v>434</v>
      </c>
      <c r="B349" s="15">
        <v>0</v>
      </c>
      <c r="C349" s="15">
        <v>0</v>
      </c>
      <c r="D349" s="15">
        <v>0</v>
      </c>
      <c r="E349" s="15">
        <v>0</v>
      </c>
      <c r="F349" s="15">
        <v>0</v>
      </c>
      <c r="G349" s="15">
        <v>0</v>
      </c>
      <c r="H349" s="15">
        <v>0</v>
      </c>
      <c r="I349" s="15">
        <v>0</v>
      </c>
      <c r="J349" s="15">
        <v>0</v>
      </c>
      <c r="K349" s="15">
        <v>0</v>
      </c>
      <c r="L349" s="15">
        <v>0</v>
      </c>
      <c r="M349" s="15">
        <v>0</v>
      </c>
      <c r="N349" s="15">
        <v>0</v>
      </c>
    </row>
    <row r="350" spans="1:14" x14ac:dyDescent="0.25">
      <c r="A350" s="10" t="s">
        <v>434</v>
      </c>
      <c r="B350" s="15">
        <v>0</v>
      </c>
      <c r="C350" s="15">
        <v>0</v>
      </c>
      <c r="D350" s="15">
        <v>0</v>
      </c>
      <c r="E350" s="15">
        <v>0</v>
      </c>
      <c r="F350" s="15">
        <v>0</v>
      </c>
      <c r="G350" s="15">
        <v>0</v>
      </c>
      <c r="H350" s="15">
        <v>0</v>
      </c>
      <c r="I350" s="15">
        <v>0</v>
      </c>
      <c r="J350" s="15">
        <v>0</v>
      </c>
      <c r="K350" s="15">
        <v>0</v>
      </c>
      <c r="L350" s="15">
        <v>0</v>
      </c>
      <c r="M350" s="15">
        <v>0</v>
      </c>
      <c r="N350" s="15">
        <v>0</v>
      </c>
    </row>
    <row r="351" spans="1:14" x14ac:dyDescent="0.25">
      <c r="A351" s="10" t="s">
        <v>436</v>
      </c>
      <c r="B351" s="15">
        <v>0</v>
      </c>
      <c r="C351" s="15">
        <v>0</v>
      </c>
      <c r="D351" s="15">
        <v>0</v>
      </c>
      <c r="E351" s="15">
        <v>0</v>
      </c>
      <c r="F351" s="15">
        <v>0</v>
      </c>
      <c r="G351" s="15">
        <v>0</v>
      </c>
      <c r="H351" s="15">
        <v>0</v>
      </c>
      <c r="I351" s="15">
        <v>0</v>
      </c>
      <c r="J351" s="15">
        <v>0</v>
      </c>
      <c r="K351" s="15">
        <v>0</v>
      </c>
      <c r="L351" s="15">
        <v>0</v>
      </c>
      <c r="M351" s="15">
        <v>0</v>
      </c>
      <c r="N351" s="15">
        <v>0</v>
      </c>
    </row>
    <row r="352" spans="1:14" x14ac:dyDescent="0.25">
      <c r="A352" s="10" t="s">
        <v>436</v>
      </c>
      <c r="B352" s="15">
        <v>0</v>
      </c>
      <c r="C352" s="15">
        <v>0</v>
      </c>
      <c r="D352" s="15">
        <v>0</v>
      </c>
      <c r="E352" s="15">
        <v>0</v>
      </c>
      <c r="F352" s="15">
        <v>0</v>
      </c>
      <c r="G352" s="15">
        <v>0</v>
      </c>
      <c r="H352" s="15">
        <v>0</v>
      </c>
      <c r="I352" s="15">
        <v>0</v>
      </c>
      <c r="J352" s="15">
        <v>0</v>
      </c>
      <c r="K352" s="15">
        <v>0</v>
      </c>
      <c r="L352" s="15">
        <v>0</v>
      </c>
      <c r="M352" s="15">
        <v>0</v>
      </c>
      <c r="N352" s="15">
        <v>0</v>
      </c>
    </row>
    <row r="353" spans="1:14" x14ac:dyDescent="0.25">
      <c r="A353" s="10" t="s">
        <v>438</v>
      </c>
      <c r="B353" s="15">
        <v>0</v>
      </c>
      <c r="C353" s="15">
        <v>0</v>
      </c>
      <c r="D353" s="15">
        <v>0</v>
      </c>
      <c r="E353" s="15">
        <v>0</v>
      </c>
      <c r="F353" s="15">
        <v>0</v>
      </c>
      <c r="G353" s="15">
        <v>0</v>
      </c>
      <c r="H353" s="15">
        <v>0</v>
      </c>
      <c r="I353" s="15">
        <v>0</v>
      </c>
      <c r="J353" s="15">
        <v>0</v>
      </c>
      <c r="K353" s="15">
        <v>0</v>
      </c>
      <c r="L353" s="15">
        <v>0</v>
      </c>
      <c r="M353" s="15">
        <v>0</v>
      </c>
      <c r="N353" s="15">
        <v>0</v>
      </c>
    </row>
    <row r="354" spans="1:14" x14ac:dyDescent="0.25">
      <c r="A354" s="10" t="s">
        <v>438</v>
      </c>
      <c r="B354" s="15">
        <v>0</v>
      </c>
      <c r="C354" s="15">
        <v>0</v>
      </c>
      <c r="D354" s="15">
        <v>0</v>
      </c>
      <c r="E354" s="15">
        <v>0</v>
      </c>
      <c r="F354" s="15">
        <v>0</v>
      </c>
      <c r="G354" s="15">
        <v>0</v>
      </c>
      <c r="H354" s="15">
        <v>0</v>
      </c>
      <c r="I354" s="15">
        <v>0</v>
      </c>
      <c r="J354" s="15">
        <v>0</v>
      </c>
      <c r="K354" s="15">
        <v>0</v>
      </c>
      <c r="L354" s="15">
        <v>0</v>
      </c>
      <c r="M354" s="15">
        <v>0</v>
      </c>
      <c r="N354" s="15">
        <v>0</v>
      </c>
    </row>
    <row r="355" spans="1:14" x14ac:dyDescent="0.25">
      <c r="A355" s="10" t="s">
        <v>440</v>
      </c>
      <c r="B355" s="15">
        <v>0</v>
      </c>
      <c r="C355" s="15">
        <v>0</v>
      </c>
      <c r="D355" s="15">
        <v>0</v>
      </c>
      <c r="E355" s="15">
        <v>0</v>
      </c>
      <c r="F355" s="15">
        <v>0</v>
      </c>
      <c r="G355" s="15">
        <v>0</v>
      </c>
      <c r="H355" s="15">
        <v>0</v>
      </c>
      <c r="I355" s="15">
        <v>0</v>
      </c>
      <c r="J355" s="15">
        <v>0</v>
      </c>
      <c r="K355" s="15">
        <v>0</v>
      </c>
      <c r="L355" s="15">
        <v>0</v>
      </c>
      <c r="M355" s="15">
        <v>0</v>
      </c>
      <c r="N355" s="15">
        <v>0</v>
      </c>
    </row>
    <row r="356" spans="1:14" x14ac:dyDescent="0.25">
      <c r="A356" s="10" t="s">
        <v>440</v>
      </c>
      <c r="B356" s="15">
        <v>0</v>
      </c>
      <c r="C356" s="15">
        <v>0</v>
      </c>
      <c r="D356" s="15">
        <v>0</v>
      </c>
      <c r="E356" s="15">
        <v>0</v>
      </c>
      <c r="F356" s="15">
        <v>0</v>
      </c>
      <c r="G356" s="15">
        <v>0</v>
      </c>
      <c r="H356" s="15">
        <v>0</v>
      </c>
      <c r="I356" s="15">
        <v>0</v>
      </c>
      <c r="J356" s="15">
        <v>0</v>
      </c>
      <c r="K356" s="15">
        <v>0</v>
      </c>
      <c r="L356" s="15">
        <v>0</v>
      </c>
      <c r="M356" s="15">
        <v>0</v>
      </c>
      <c r="N356" s="15">
        <v>0</v>
      </c>
    </row>
    <row r="357" spans="1:14" x14ac:dyDescent="0.25">
      <c r="A357" s="10" t="s">
        <v>442</v>
      </c>
      <c r="B357" s="15">
        <v>0</v>
      </c>
      <c r="C357" s="15">
        <v>0</v>
      </c>
      <c r="D357" s="15">
        <v>0</v>
      </c>
      <c r="E357" s="15">
        <v>0</v>
      </c>
      <c r="F357" s="15">
        <v>0</v>
      </c>
      <c r="G357" s="15">
        <v>0</v>
      </c>
      <c r="H357" s="15">
        <v>0</v>
      </c>
      <c r="I357" s="15">
        <v>0</v>
      </c>
      <c r="J357" s="15">
        <v>0</v>
      </c>
      <c r="K357" s="15">
        <v>0</v>
      </c>
      <c r="L357" s="15">
        <v>0</v>
      </c>
      <c r="M357" s="15">
        <v>0</v>
      </c>
      <c r="N357" s="15">
        <v>0</v>
      </c>
    </row>
    <row r="358" spans="1:14" x14ac:dyDescent="0.25">
      <c r="A358" s="10" t="s">
        <v>442</v>
      </c>
      <c r="B358" s="15">
        <v>0</v>
      </c>
      <c r="C358" s="15">
        <v>0</v>
      </c>
      <c r="D358" s="15">
        <v>0</v>
      </c>
      <c r="E358" s="15">
        <v>0</v>
      </c>
      <c r="F358" s="15">
        <v>0</v>
      </c>
      <c r="G358" s="15">
        <v>0</v>
      </c>
      <c r="H358" s="15">
        <v>0</v>
      </c>
      <c r="I358" s="15">
        <v>0</v>
      </c>
      <c r="J358" s="15">
        <v>0</v>
      </c>
      <c r="K358" s="15">
        <v>0</v>
      </c>
      <c r="L358" s="15">
        <v>0</v>
      </c>
      <c r="M358" s="15">
        <v>0</v>
      </c>
      <c r="N358" s="15">
        <v>0</v>
      </c>
    </row>
    <row r="359" spans="1:14" x14ac:dyDescent="0.25">
      <c r="A359" s="10" t="s">
        <v>444</v>
      </c>
      <c r="B359" s="15">
        <v>0</v>
      </c>
      <c r="C359" s="15">
        <v>0</v>
      </c>
      <c r="D359" s="15">
        <v>0</v>
      </c>
      <c r="E359" s="15">
        <v>0</v>
      </c>
      <c r="F359" s="15">
        <v>0</v>
      </c>
      <c r="G359" s="15">
        <v>0</v>
      </c>
      <c r="H359" s="15">
        <v>0</v>
      </c>
      <c r="I359" s="15">
        <v>0</v>
      </c>
      <c r="J359" s="15">
        <v>0</v>
      </c>
      <c r="K359" s="15">
        <v>0</v>
      </c>
      <c r="L359" s="15">
        <v>0</v>
      </c>
      <c r="M359" s="15">
        <v>0</v>
      </c>
      <c r="N359" s="15">
        <v>0</v>
      </c>
    </row>
    <row r="360" spans="1:14" x14ac:dyDescent="0.25">
      <c r="A360" s="10" t="s">
        <v>444</v>
      </c>
      <c r="B360" s="15">
        <v>0</v>
      </c>
      <c r="C360" s="15">
        <v>0</v>
      </c>
      <c r="D360" s="15">
        <v>0</v>
      </c>
      <c r="E360" s="15">
        <v>0</v>
      </c>
      <c r="F360" s="15">
        <v>0</v>
      </c>
      <c r="G360" s="15">
        <v>0</v>
      </c>
      <c r="H360" s="15">
        <v>0</v>
      </c>
      <c r="I360" s="15">
        <v>0</v>
      </c>
      <c r="J360" s="15">
        <v>0</v>
      </c>
      <c r="K360" s="15">
        <v>0</v>
      </c>
      <c r="L360" s="15">
        <v>0</v>
      </c>
      <c r="M360" s="15">
        <v>0</v>
      </c>
      <c r="N360" s="15">
        <v>0</v>
      </c>
    </row>
    <row r="361" spans="1:14" x14ac:dyDescent="0.25">
      <c r="A361" s="10" t="s">
        <v>446</v>
      </c>
      <c r="B361" s="15">
        <v>0</v>
      </c>
      <c r="C361" s="15">
        <v>0</v>
      </c>
      <c r="D361" s="15">
        <v>0</v>
      </c>
      <c r="E361" s="15">
        <v>0</v>
      </c>
      <c r="F361" s="15">
        <v>0</v>
      </c>
      <c r="G361" s="15">
        <v>0</v>
      </c>
      <c r="H361" s="15">
        <v>0</v>
      </c>
      <c r="I361" s="15">
        <v>0</v>
      </c>
      <c r="J361" s="15">
        <v>0</v>
      </c>
      <c r="K361" s="15">
        <v>0</v>
      </c>
      <c r="L361" s="15">
        <v>0</v>
      </c>
      <c r="M361" s="15">
        <v>0</v>
      </c>
      <c r="N361" s="15">
        <v>0</v>
      </c>
    </row>
    <row r="362" spans="1:14" x14ac:dyDescent="0.25">
      <c r="A362" s="10" t="s">
        <v>446</v>
      </c>
      <c r="B362" s="15">
        <v>0</v>
      </c>
      <c r="C362" s="15">
        <v>0</v>
      </c>
      <c r="D362" s="15">
        <v>0</v>
      </c>
      <c r="E362" s="15">
        <v>0</v>
      </c>
      <c r="F362" s="15">
        <v>0</v>
      </c>
      <c r="G362" s="15">
        <v>0</v>
      </c>
      <c r="H362" s="15">
        <v>0</v>
      </c>
      <c r="I362" s="15">
        <v>0</v>
      </c>
      <c r="J362" s="15">
        <v>0</v>
      </c>
      <c r="K362" s="15">
        <v>0</v>
      </c>
      <c r="L362" s="15">
        <v>0</v>
      </c>
      <c r="M362" s="15">
        <v>0</v>
      </c>
      <c r="N362" s="15">
        <v>0</v>
      </c>
    </row>
    <row r="363" spans="1:14" x14ac:dyDescent="0.25">
      <c r="A363" s="10" t="s">
        <v>448</v>
      </c>
      <c r="B363" s="15">
        <v>0</v>
      </c>
      <c r="C363" s="15">
        <v>0</v>
      </c>
      <c r="D363" s="15">
        <v>0</v>
      </c>
      <c r="E363" s="15">
        <v>0</v>
      </c>
      <c r="F363" s="15">
        <v>0</v>
      </c>
      <c r="G363" s="15">
        <v>0</v>
      </c>
      <c r="H363" s="15">
        <v>0</v>
      </c>
      <c r="I363" s="15">
        <v>0</v>
      </c>
      <c r="J363" s="15">
        <v>0</v>
      </c>
      <c r="K363" s="15">
        <v>0</v>
      </c>
      <c r="L363" s="15">
        <v>0</v>
      </c>
      <c r="M363" s="15">
        <v>0</v>
      </c>
      <c r="N363" s="15">
        <v>0</v>
      </c>
    </row>
    <row r="364" spans="1:14" x14ac:dyDescent="0.25">
      <c r="A364" s="10" t="s">
        <v>448</v>
      </c>
      <c r="B364" s="15">
        <v>0</v>
      </c>
      <c r="C364" s="15">
        <v>0</v>
      </c>
      <c r="D364" s="15">
        <v>0</v>
      </c>
      <c r="E364" s="15">
        <v>0</v>
      </c>
      <c r="F364" s="15">
        <v>0</v>
      </c>
      <c r="G364" s="15">
        <v>0</v>
      </c>
      <c r="H364" s="15">
        <v>0</v>
      </c>
      <c r="I364" s="15">
        <v>0</v>
      </c>
      <c r="J364" s="15">
        <v>0</v>
      </c>
      <c r="K364" s="15">
        <v>0</v>
      </c>
      <c r="L364" s="15">
        <v>0</v>
      </c>
      <c r="M364" s="15">
        <v>0</v>
      </c>
      <c r="N364" s="15">
        <v>0</v>
      </c>
    </row>
    <row r="365" spans="1:14" x14ac:dyDescent="0.25">
      <c r="A365" s="10" t="s">
        <v>450</v>
      </c>
      <c r="B365" s="15">
        <v>0</v>
      </c>
      <c r="C365" s="15">
        <v>0</v>
      </c>
      <c r="D365" s="15">
        <v>0</v>
      </c>
      <c r="E365" s="15">
        <v>0</v>
      </c>
      <c r="F365" s="15">
        <v>0</v>
      </c>
      <c r="G365" s="15">
        <v>0</v>
      </c>
      <c r="H365" s="15">
        <v>0</v>
      </c>
      <c r="I365" s="15">
        <v>0</v>
      </c>
      <c r="J365" s="15">
        <v>0</v>
      </c>
      <c r="K365" s="15">
        <v>0</v>
      </c>
      <c r="L365" s="15">
        <v>0</v>
      </c>
      <c r="M365" s="15">
        <v>0</v>
      </c>
      <c r="N365" s="15">
        <v>0</v>
      </c>
    </row>
    <row r="366" spans="1:14" x14ac:dyDescent="0.25">
      <c r="A366" s="10" t="s">
        <v>450</v>
      </c>
      <c r="B366" s="15">
        <v>0</v>
      </c>
      <c r="C366" s="15">
        <v>0</v>
      </c>
      <c r="D366" s="15">
        <v>0</v>
      </c>
      <c r="E366" s="15">
        <v>0</v>
      </c>
      <c r="F366" s="15">
        <v>0</v>
      </c>
      <c r="G366" s="15">
        <v>0</v>
      </c>
      <c r="H366" s="15">
        <v>0</v>
      </c>
      <c r="I366" s="15">
        <v>0</v>
      </c>
      <c r="J366" s="15">
        <v>0</v>
      </c>
      <c r="K366" s="15">
        <v>0</v>
      </c>
      <c r="L366" s="15">
        <v>0</v>
      </c>
      <c r="M366" s="15">
        <v>0</v>
      </c>
      <c r="N366" s="15">
        <v>0</v>
      </c>
    </row>
    <row r="367" spans="1:14" x14ac:dyDescent="0.25">
      <c r="A367" s="10" t="s">
        <v>452</v>
      </c>
      <c r="B367" s="15">
        <v>0</v>
      </c>
      <c r="C367" s="15">
        <v>0</v>
      </c>
      <c r="D367" s="15">
        <v>0</v>
      </c>
      <c r="E367" s="15">
        <v>0</v>
      </c>
      <c r="F367" s="15">
        <v>0</v>
      </c>
      <c r="G367" s="15">
        <v>0</v>
      </c>
      <c r="H367" s="15">
        <v>0</v>
      </c>
      <c r="I367" s="15">
        <v>0</v>
      </c>
      <c r="J367" s="15">
        <v>0</v>
      </c>
      <c r="K367" s="15">
        <v>0</v>
      </c>
      <c r="L367" s="15">
        <v>0</v>
      </c>
      <c r="M367" s="15">
        <v>0</v>
      </c>
      <c r="N367" s="15">
        <v>0</v>
      </c>
    </row>
    <row r="368" spans="1:14" x14ac:dyDescent="0.25">
      <c r="A368" s="10" t="s">
        <v>452</v>
      </c>
      <c r="B368" s="15">
        <v>0</v>
      </c>
      <c r="C368" s="15">
        <v>0</v>
      </c>
      <c r="D368" s="15">
        <v>0</v>
      </c>
      <c r="E368" s="15">
        <v>0</v>
      </c>
      <c r="F368" s="15">
        <v>0</v>
      </c>
      <c r="G368" s="15">
        <v>0</v>
      </c>
      <c r="H368" s="15">
        <v>0</v>
      </c>
      <c r="I368" s="15">
        <v>0</v>
      </c>
      <c r="J368" s="15">
        <v>0</v>
      </c>
      <c r="K368" s="15">
        <v>0</v>
      </c>
      <c r="L368" s="15">
        <v>0</v>
      </c>
      <c r="M368" s="15">
        <v>0</v>
      </c>
      <c r="N368" s="15">
        <v>0</v>
      </c>
    </row>
    <row r="369" spans="1:14" x14ac:dyDescent="0.25">
      <c r="A369" s="10" t="s">
        <v>454</v>
      </c>
      <c r="B369" s="15">
        <v>0</v>
      </c>
      <c r="C369" s="15">
        <v>0</v>
      </c>
      <c r="D369" s="15">
        <v>0</v>
      </c>
      <c r="E369" s="15">
        <v>0</v>
      </c>
      <c r="F369" s="15">
        <v>0</v>
      </c>
      <c r="G369" s="15">
        <v>0</v>
      </c>
      <c r="H369" s="15">
        <v>0</v>
      </c>
      <c r="I369" s="15">
        <v>0</v>
      </c>
      <c r="J369" s="15">
        <v>0</v>
      </c>
      <c r="K369" s="15">
        <v>0</v>
      </c>
      <c r="L369" s="15">
        <v>0</v>
      </c>
      <c r="M369" s="15">
        <v>0</v>
      </c>
      <c r="N369" s="15">
        <v>0</v>
      </c>
    </row>
    <row r="370" spans="1:14" x14ac:dyDescent="0.25">
      <c r="A370" s="10" t="s">
        <v>454</v>
      </c>
      <c r="B370" s="15">
        <v>0</v>
      </c>
      <c r="C370" s="15">
        <v>0</v>
      </c>
      <c r="D370" s="15">
        <v>0</v>
      </c>
      <c r="E370" s="15">
        <v>0</v>
      </c>
      <c r="F370" s="15">
        <v>0</v>
      </c>
      <c r="G370" s="15">
        <v>0</v>
      </c>
      <c r="H370" s="15">
        <v>0</v>
      </c>
      <c r="I370" s="15">
        <v>0</v>
      </c>
      <c r="J370" s="15">
        <v>0</v>
      </c>
      <c r="K370" s="15">
        <v>0</v>
      </c>
      <c r="L370" s="15">
        <v>0</v>
      </c>
      <c r="M370" s="15">
        <v>0</v>
      </c>
      <c r="N370" s="15">
        <v>0</v>
      </c>
    </row>
    <row r="371" spans="1:14" x14ac:dyDescent="0.25">
      <c r="A371" s="10" t="s">
        <v>456</v>
      </c>
      <c r="B371" s="15">
        <v>0</v>
      </c>
      <c r="C371" s="15">
        <v>0</v>
      </c>
      <c r="D371" s="15">
        <v>0</v>
      </c>
      <c r="E371" s="15">
        <v>0</v>
      </c>
      <c r="F371" s="15">
        <v>0</v>
      </c>
      <c r="G371" s="15">
        <v>0</v>
      </c>
      <c r="H371" s="15">
        <v>0</v>
      </c>
      <c r="I371" s="15">
        <v>0</v>
      </c>
      <c r="J371" s="15">
        <v>0</v>
      </c>
      <c r="K371" s="15">
        <v>0</v>
      </c>
      <c r="L371" s="15">
        <v>0</v>
      </c>
      <c r="M371" s="15">
        <v>0</v>
      </c>
      <c r="N371" s="15">
        <v>0</v>
      </c>
    </row>
    <row r="372" spans="1:14" x14ac:dyDescent="0.25">
      <c r="A372" s="10" t="s">
        <v>456</v>
      </c>
      <c r="B372" s="15">
        <v>0</v>
      </c>
      <c r="C372" s="15">
        <v>0</v>
      </c>
      <c r="D372" s="15">
        <v>0</v>
      </c>
      <c r="E372" s="15">
        <v>0</v>
      </c>
      <c r="F372" s="15">
        <v>0</v>
      </c>
      <c r="G372" s="15">
        <v>0</v>
      </c>
      <c r="H372" s="15">
        <v>0</v>
      </c>
      <c r="I372" s="15">
        <v>0</v>
      </c>
      <c r="J372" s="15">
        <v>0</v>
      </c>
      <c r="K372" s="15">
        <v>0</v>
      </c>
      <c r="L372" s="15">
        <v>0</v>
      </c>
      <c r="M372" s="15">
        <v>0</v>
      </c>
      <c r="N372" s="15">
        <v>0</v>
      </c>
    </row>
    <row r="373" spans="1:14" x14ac:dyDescent="0.25">
      <c r="A373" s="10" t="s">
        <v>458</v>
      </c>
      <c r="B373" s="15">
        <v>0</v>
      </c>
      <c r="C373" s="15">
        <v>0</v>
      </c>
      <c r="D373" s="15">
        <v>0</v>
      </c>
      <c r="E373" s="15">
        <v>0</v>
      </c>
      <c r="F373" s="15">
        <v>0</v>
      </c>
      <c r="G373" s="15">
        <v>0</v>
      </c>
      <c r="H373" s="15">
        <v>0</v>
      </c>
      <c r="I373" s="15">
        <v>0</v>
      </c>
      <c r="J373" s="15">
        <v>0</v>
      </c>
      <c r="K373" s="15">
        <v>0</v>
      </c>
      <c r="L373" s="15">
        <v>0</v>
      </c>
      <c r="M373" s="15">
        <v>0</v>
      </c>
      <c r="N373" s="15">
        <v>0</v>
      </c>
    </row>
    <row r="374" spans="1:14" x14ac:dyDescent="0.25">
      <c r="A374" s="10" t="s">
        <v>458</v>
      </c>
      <c r="B374" s="15">
        <v>0</v>
      </c>
      <c r="C374" s="15">
        <v>0</v>
      </c>
      <c r="D374" s="15">
        <v>0</v>
      </c>
      <c r="E374" s="15">
        <v>0</v>
      </c>
      <c r="F374" s="15">
        <v>0</v>
      </c>
      <c r="G374" s="15">
        <v>0</v>
      </c>
      <c r="H374" s="15">
        <v>0</v>
      </c>
      <c r="I374" s="15">
        <v>0</v>
      </c>
      <c r="J374" s="15">
        <v>0</v>
      </c>
      <c r="K374" s="15">
        <v>0</v>
      </c>
      <c r="L374" s="15">
        <v>0</v>
      </c>
      <c r="M374" s="15">
        <v>0</v>
      </c>
      <c r="N374" s="15">
        <v>0</v>
      </c>
    </row>
    <row r="375" spans="1:14" x14ac:dyDescent="0.25">
      <c r="A375" s="10" t="s">
        <v>460</v>
      </c>
      <c r="B375" s="15">
        <v>0</v>
      </c>
      <c r="C375" s="15">
        <v>0</v>
      </c>
      <c r="D375" s="15">
        <v>0</v>
      </c>
      <c r="E375" s="15">
        <v>0</v>
      </c>
      <c r="F375" s="15">
        <v>0</v>
      </c>
      <c r="G375" s="15">
        <v>0</v>
      </c>
      <c r="H375" s="15">
        <v>0</v>
      </c>
      <c r="I375" s="15">
        <v>0</v>
      </c>
      <c r="J375" s="15">
        <v>0</v>
      </c>
      <c r="K375" s="15">
        <v>0</v>
      </c>
      <c r="L375" s="15">
        <v>0</v>
      </c>
      <c r="M375" s="15">
        <v>0</v>
      </c>
      <c r="N375" s="15">
        <v>0</v>
      </c>
    </row>
    <row r="376" spans="1:14" x14ac:dyDescent="0.25">
      <c r="A376" s="10" t="s">
        <v>460</v>
      </c>
      <c r="B376" s="15">
        <v>0</v>
      </c>
      <c r="C376" s="15">
        <v>0</v>
      </c>
      <c r="D376" s="15">
        <v>0</v>
      </c>
      <c r="E376" s="15">
        <v>0</v>
      </c>
      <c r="F376" s="15">
        <v>0</v>
      </c>
      <c r="G376" s="15">
        <v>0</v>
      </c>
      <c r="H376" s="15">
        <v>0</v>
      </c>
      <c r="I376" s="15">
        <v>0</v>
      </c>
      <c r="J376" s="15">
        <v>0</v>
      </c>
      <c r="K376" s="15">
        <v>0</v>
      </c>
      <c r="L376" s="15">
        <v>0</v>
      </c>
      <c r="M376" s="15">
        <v>0</v>
      </c>
      <c r="N376" s="15">
        <v>0</v>
      </c>
    </row>
    <row r="377" spans="1:14" x14ac:dyDescent="0.25">
      <c r="A377" s="10" t="s">
        <v>462</v>
      </c>
      <c r="B377" s="15">
        <v>0</v>
      </c>
      <c r="C377" s="15">
        <v>0</v>
      </c>
      <c r="D377" s="15">
        <v>0</v>
      </c>
      <c r="E377" s="15">
        <v>0</v>
      </c>
      <c r="F377" s="15">
        <v>0</v>
      </c>
      <c r="G377" s="15">
        <v>0</v>
      </c>
      <c r="H377" s="15">
        <v>0</v>
      </c>
      <c r="I377" s="15">
        <v>0</v>
      </c>
      <c r="J377" s="15">
        <v>0</v>
      </c>
      <c r="K377" s="15">
        <v>0</v>
      </c>
      <c r="L377" s="15">
        <v>0</v>
      </c>
      <c r="M377" s="15">
        <v>0</v>
      </c>
      <c r="N377" s="15">
        <v>0</v>
      </c>
    </row>
    <row r="378" spans="1:14" x14ac:dyDescent="0.25">
      <c r="A378" s="10" t="s">
        <v>462</v>
      </c>
      <c r="B378" s="15">
        <v>0</v>
      </c>
      <c r="C378" s="15">
        <v>0</v>
      </c>
      <c r="D378" s="15">
        <v>0</v>
      </c>
      <c r="E378" s="15">
        <v>0</v>
      </c>
      <c r="F378" s="15">
        <v>0</v>
      </c>
      <c r="G378" s="15">
        <v>0</v>
      </c>
      <c r="H378" s="15">
        <v>0</v>
      </c>
      <c r="I378" s="15">
        <v>0</v>
      </c>
      <c r="J378" s="15">
        <v>0</v>
      </c>
      <c r="K378" s="15">
        <v>0</v>
      </c>
      <c r="L378" s="15">
        <v>0</v>
      </c>
      <c r="M378" s="15">
        <v>0</v>
      </c>
      <c r="N378" s="15">
        <v>0</v>
      </c>
    </row>
    <row r="379" spans="1:14" x14ac:dyDescent="0.25">
      <c r="A379" s="10" t="s">
        <v>464</v>
      </c>
      <c r="B379" s="15">
        <v>0</v>
      </c>
      <c r="C379" s="15">
        <v>0</v>
      </c>
      <c r="D379" s="15">
        <v>0</v>
      </c>
      <c r="E379" s="15">
        <v>0</v>
      </c>
      <c r="F379" s="15">
        <v>0</v>
      </c>
      <c r="G379" s="15">
        <v>0</v>
      </c>
      <c r="H379" s="15">
        <v>0</v>
      </c>
      <c r="I379" s="15">
        <v>0</v>
      </c>
      <c r="J379" s="15">
        <v>0</v>
      </c>
      <c r="K379" s="15">
        <v>0</v>
      </c>
      <c r="L379" s="15">
        <v>0</v>
      </c>
      <c r="M379" s="15">
        <v>0</v>
      </c>
      <c r="N379" s="15">
        <v>0</v>
      </c>
    </row>
    <row r="380" spans="1:14" x14ac:dyDescent="0.25">
      <c r="A380" s="10" t="s">
        <v>464</v>
      </c>
      <c r="B380" s="15">
        <v>0</v>
      </c>
      <c r="C380" s="15">
        <v>0</v>
      </c>
      <c r="D380" s="15">
        <v>0</v>
      </c>
      <c r="E380" s="15">
        <v>0</v>
      </c>
      <c r="F380" s="15">
        <v>0</v>
      </c>
      <c r="G380" s="15">
        <v>0</v>
      </c>
      <c r="H380" s="15">
        <v>0</v>
      </c>
      <c r="I380" s="15">
        <v>0</v>
      </c>
      <c r="J380" s="15">
        <v>0</v>
      </c>
      <c r="K380" s="15">
        <v>0</v>
      </c>
      <c r="L380" s="15">
        <v>0</v>
      </c>
      <c r="M380" s="15">
        <v>0</v>
      </c>
      <c r="N380" s="15">
        <v>0</v>
      </c>
    </row>
    <row r="381" spans="1:14" x14ac:dyDescent="0.25">
      <c r="A381" s="10" t="s">
        <v>466</v>
      </c>
      <c r="B381" s="15">
        <v>0</v>
      </c>
      <c r="C381" s="15">
        <v>0</v>
      </c>
      <c r="D381" s="15">
        <v>0</v>
      </c>
      <c r="E381" s="15">
        <v>0</v>
      </c>
      <c r="F381" s="15">
        <v>0</v>
      </c>
      <c r="G381" s="15">
        <v>0</v>
      </c>
      <c r="H381" s="15">
        <v>0</v>
      </c>
      <c r="I381" s="15">
        <v>0</v>
      </c>
      <c r="J381" s="15">
        <v>0</v>
      </c>
      <c r="K381" s="15">
        <v>0</v>
      </c>
      <c r="L381" s="15">
        <v>0</v>
      </c>
      <c r="M381" s="15">
        <v>0</v>
      </c>
      <c r="N381" s="15">
        <v>0</v>
      </c>
    </row>
    <row r="382" spans="1:14" x14ac:dyDescent="0.25">
      <c r="A382" s="10" t="s">
        <v>466</v>
      </c>
      <c r="B382" s="15">
        <v>0</v>
      </c>
      <c r="C382" s="15">
        <v>0</v>
      </c>
      <c r="D382" s="15">
        <v>0</v>
      </c>
      <c r="E382" s="15">
        <v>0</v>
      </c>
      <c r="F382" s="15">
        <v>0</v>
      </c>
      <c r="G382" s="15">
        <v>0</v>
      </c>
      <c r="H382" s="15">
        <v>0</v>
      </c>
      <c r="I382" s="15">
        <v>0</v>
      </c>
      <c r="J382" s="15">
        <v>0</v>
      </c>
      <c r="K382" s="15">
        <v>0</v>
      </c>
      <c r="L382" s="15">
        <v>0</v>
      </c>
      <c r="M382" s="15">
        <v>0</v>
      </c>
      <c r="N382" s="15">
        <v>0</v>
      </c>
    </row>
    <row r="383" spans="1:14" x14ac:dyDescent="0.25">
      <c r="A383" s="10" t="s">
        <v>468</v>
      </c>
      <c r="B383" s="15">
        <v>0</v>
      </c>
      <c r="C383" s="15">
        <v>0</v>
      </c>
      <c r="D383" s="15">
        <v>0</v>
      </c>
      <c r="E383" s="15">
        <v>0</v>
      </c>
      <c r="F383" s="15">
        <v>0</v>
      </c>
      <c r="G383" s="15">
        <v>0</v>
      </c>
      <c r="H383" s="15">
        <v>0</v>
      </c>
      <c r="I383" s="15">
        <v>0</v>
      </c>
      <c r="J383" s="15">
        <v>0</v>
      </c>
      <c r="K383" s="15">
        <v>0</v>
      </c>
      <c r="L383" s="15">
        <v>0</v>
      </c>
      <c r="M383" s="15">
        <v>0</v>
      </c>
      <c r="N383" s="15">
        <v>0</v>
      </c>
    </row>
    <row r="384" spans="1:14" x14ac:dyDescent="0.25">
      <c r="A384" s="10" t="s">
        <v>468</v>
      </c>
      <c r="B384" s="15">
        <v>0</v>
      </c>
      <c r="C384" s="15">
        <v>0</v>
      </c>
      <c r="D384" s="15">
        <v>0</v>
      </c>
      <c r="E384" s="15">
        <v>0</v>
      </c>
      <c r="F384" s="15">
        <v>0</v>
      </c>
      <c r="G384" s="15">
        <v>0</v>
      </c>
      <c r="H384" s="15">
        <v>0</v>
      </c>
      <c r="I384" s="15">
        <v>0</v>
      </c>
      <c r="J384" s="15">
        <v>0</v>
      </c>
      <c r="K384" s="15">
        <v>0</v>
      </c>
      <c r="L384" s="15">
        <v>0</v>
      </c>
      <c r="M384" s="15">
        <v>0</v>
      </c>
      <c r="N384" s="15">
        <v>0</v>
      </c>
    </row>
    <row r="385" spans="1:14" x14ac:dyDescent="0.25">
      <c r="A385" s="10" t="s">
        <v>470</v>
      </c>
      <c r="B385" s="15">
        <v>0</v>
      </c>
      <c r="C385" s="15">
        <v>0</v>
      </c>
      <c r="D385" s="15">
        <v>0</v>
      </c>
      <c r="E385" s="15">
        <v>0</v>
      </c>
      <c r="F385" s="15">
        <v>0</v>
      </c>
      <c r="G385" s="15">
        <v>0</v>
      </c>
      <c r="H385" s="15">
        <v>0</v>
      </c>
      <c r="I385" s="15">
        <v>0</v>
      </c>
      <c r="J385" s="15">
        <v>0</v>
      </c>
      <c r="K385" s="15">
        <v>0</v>
      </c>
      <c r="L385" s="15">
        <v>0</v>
      </c>
      <c r="M385" s="15">
        <v>0</v>
      </c>
      <c r="N385" s="15">
        <v>0</v>
      </c>
    </row>
    <row r="386" spans="1:14" x14ac:dyDescent="0.25">
      <c r="A386" s="10" t="s">
        <v>470</v>
      </c>
      <c r="B386" s="15">
        <v>0</v>
      </c>
      <c r="C386" s="15">
        <v>0</v>
      </c>
      <c r="D386" s="15">
        <v>0</v>
      </c>
      <c r="E386" s="15">
        <v>0</v>
      </c>
      <c r="F386" s="15">
        <v>0</v>
      </c>
      <c r="G386" s="15">
        <v>0</v>
      </c>
      <c r="H386" s="15">
        <v>0</v>
      </c>
      <c r="I386" s="15">
        <v>0</v>
      </c>
      <c r="J386" s="15">
        <v>0</v>
      </c>
      <c r="K386" s="15">
        <v>0</v>
      </c>
      <c r="L386" s="15">
        <v>0</v>
      </c>
      <c r="M386" s="15">
        <v>0</v>
      </c>
      <c r="N386" s="15">
        <v>0</v>
      </c>
    </row>
    <row r="387" spans="1:14" x14ac:dyDescent="0.25">
      <c r="A387" s="10" t="s">
        <v>472</v>
      </c>
      <c r="B387" s="15">
        <v>0</v>
      </c>
      <c r="C387" s="15">
        <v>0</v>
      </c>
      <c r="D387" s="15">
        <v>0</v>
      </c>
      <c r="E387" s="15">
        <v>0</v>
      </c>
      <c r="F387" s="15">
        <v>0</v>
      </c>
      <c r="G387" s="15">
        <v>0</v>
      </c>
      <c r="H387" s="15">
        <v>0</v>
      </c>
      <c r="I387" s="15">
        <v>0</v>
      </c>
      <c r="J387" s="15">
        <v>0</v>
      </c>
      <c r="K387" s="15">
        <v>0</v>
      </c>
      <c r="L387" s="15">
        <v>0</v>
      </c>
      <c r="M387" s="15">
        <v>0</v>
      </c>
      <c r="N387" s="15">
        <v>0</v>
      </c>
    </row>
    <row r="388" spans="1:14" x14ac:dyDescent="0.25">
      <c r="A388" s="10" t="s">
        <v>472</v>
      </c>
      <c r="B388" s="15">
        <v>0</v>
      </c>
      <c r="C388" s="15">
        <v>0</v>
      </c>
      <c r="D388" s="15">
        <v>0</v>
      </c>
      <c r="E388" s="15">
        <v>0</v>
      </c>
      <c r="F388" s="15">
        <v>0</v>
      </c>
      <c r="G388" s="15">
        <v>0</v>
      </c>
      <c r="H388" s="15">
        <v>0</v>
      </c>
      <c r="I388" s="15">
        <v>0</v>
      </c>
      <c r="J388" s="15">
        <v>0</v>
      </c>
      <c r="K388" s="15">
        <v>0</v>
      </c>
      <c r="L388" s="15">
        <v>0</v>
      </c>
      <c r="M388" s="15">
        <v>0</v>
      </c>
      <c r="N388" s="15">
        <v>0</v>
      </c>
    </row>
    <row r="389" spans="1:14" x14ac:dyDescent="0.25">
      <c r="A389" s="10" t="s">
        <v>474</v>
      </c>
      <c r="B389" s="15">
        <v>0</v>
      </c>
      <c r="C389" s="15">
        <v>0</v>
      </c>
      <c r="D389" s="15">
        <v>0</v>
      </c>
      <c r="E389" s="15">
        <v>0</v>
      </c>
      <c r="F389" s="15">
        <v>0</v>
      </c>
      <c r="G389" s="15">
        <v>0</v>
      </c>
      <c r="H389" s="15">
        <v>0</v>
      </c>
      <c r="I389" s="15">
        <v>0</v>
      </c>
      <c r="J389" s="15">
        <v>0</v>
      </c>
      <c r="K389" s="15">
        <v>0</v>
      </c>
      <c r="L389" s="15">
        <v>0</v>
      </c>
      <c r="M389" s="15">
        <v>0</v>
      </c>
      <c r="N389" s="15">
        <v>0</v>
      </c>
    </row>
    <row r="390" spans="1:14" x14ac:dyDescent="0.25">
      <c r="A390" s="10" t="s">
        <v>474</v>
      </c>
      <c r="B390" s="15">
        <v>0</v>
      </c>
      <c r="C390" s="15">
        <v>0</v>
      </c>
      <c r="D390" s="15">
        <v>0</v>
      </c>
      <c r="E390" s="15">
        <v>0</v>
      </c>
      <c r="F390" s="15">
        <v>0</v>
      </c>
      <c r="G390" s="15">
        <v>0</v>
      </c>
      <c r="H390" s="15">
        <v>0</v>
      </c>
      <c r="I390" s="15">
        <v>0</v>
      </c>
      <c r="J390" s="15">
        <v>0</v>
      </c>
      <c r="K390" s="15">
        <v>0</v>
      </c>
      <c r="L390" s="15">
        <v>0</v>
      </c>
      <c r="M390" s="15">
        <v>0</v>
      </c>
      <c r="N390" s="15">
        <v>0</v>
      </c>
    </row>
    <row r="391" spans="1:14" x14ac:dyDescent="0.25">
      <c r="A391" s="10" t="s">
        <v>476</v>
      </c>
      <c r="B391" s="15">
        <v>0</v>
      </c>
      <c r="C391" s="15">
        <v>0</v>
      </c>
      <c r="D391" s="15">
        <v>0</v>
      </c>
      <c r="E391" s="15">
        <v>0</v>
      </c>
      <c r="F391" s="15">
        <v>0</v>
      </c>
      <c r="G391" s="15">
        <v>0</v>
      </c>
      <c r="H391" s="15">
        <v>0</v>
      </c>
      <c r="I391" s="15">
        <v>0</v>
      </c>
      <c r="J391" s="15">
        <v>0</v>
      </c>
      <c r="K391" s="15">
        <v>0</v>
      </c>
      <c r="L391" s="15">
        <v>0</v>
      </c>
      <c r="M391" s="15">
        <v>0</v>
      </c>
      <c r="N391" s="15">
        <v>0</v>
      </c>
    </row>
    <row r="392" spans="1:14" x14ac:dyDescent="0.25">
      <c r="A392" s="10" t="s">
        <v>476</v>
      </c>
      <c r="B392" s="15">
        <v>0</v>
      </c>
      <c r="C392" s="15">
        <v>0</v>
      </c>
      <c r="D392" s="15">
        <v>0</v>
      </c>
      <c r="E392" s="15">
        <v>0</v>
      </c>
      <c r="F392" s="15">
        <v>0</v>
      </c>
      <c r="G392" s="15">
        <v>0</v>
      </c>
      <c r="H392" s="15">
        <v>0</v>
      </c>
      <c r="I392" s="15">
        <v>0</v>
      </c>
      <c r="J392" s="15">
        <v>0</v>
      </c>
      <c r="K392" s="15">
        <v>0</v>
      </c>
      <c r="L392" s="15">
        <v>0</v>
      </c>
      <c r="M392" s="15">
        <v>0</v>
      </c>
      <c r="N392" s="15">
        <v>0</v>
      </c>
    </row>
    <row r="393" spans="1:14" x14ac:dyDescent="0.25">
      <c r="A393" s="10" t="s">
        <v>478</v>
      </c>
      <c r="B393" s="15">
        <v>0</v>
      </c>
      <c r="C393" s="15">
        <v>0</v>
      </c>
      <c r="D393" s="15">
        <v>0</v>
      </c>
      <c r="E393" s="15">
        <v>0</v>
      </c>
      <c r="F393" s="15">
        <v>0</v>
      </c>
      <c r="G393" s="15">
        <v>0</v>
      </c>
      <c r="H393" s="15">
        <v>0</v>
      </c>
      <c r="I393" s="15">
        <v>0</v>
      </c>
      <c r="J393" s="15">
        <v>0</v>
      </c>
      <c r="K393" s="15">
        <v>0</v>
      </c>
      <c r="L393" s="15">
        <v>0</v>
      </c>
      <c r="M393" s="15">
        <v>0</v>
      </c>
      <c r="N393" s="15">
        <v>0</v>
      </c>
    </row>
    <row r="394" spans="1:14" x14ac:dyDescent="0.25">
      <c r="A394" s="10" t="s">
        <v>478</v>
      </c>
      <c r="B394" s="15">
        <v>0</v>
      </c>
      <c r="C394" s="15">
        <v>0</v>
      </c>
      <c r="D394" s="15">
        <v>0</v>
      </c>
      <c r="E394" s="15">
        <v>0</v>
      </c>
      <c r="F394" s="15">
        <v>0</v>
      </c>
      <c r="G394" s="15">
        <v>0</v>
      </c>
      <c r="H394" s="15">
        <v>0</v>
      </c>
      <c r="I394" s="15">
        <v>0</v>
      </c>
      <c r="J394" s="15">
        <v>0</v>
      </c>
      <c r="K394" s="15">
        <v>0</v>
      </c>
      <c r="L394" s="15">
        <v>0</v>
      </c>
      <c r="M394" s="15">
        <v>0</v>
      </c>
      <c r="N394" s="15">
        <v>0</v>
      </c>
    </row>
    <row r="395" spans="1:14" x14ac:dyDescent="0.25">
      <c r="A395" s="10" t="s">
        <v>480</v>
      </c>
      <c r="B395" s="15">
        <v>0</v>
      </c>
      <c r="C395" s="15">
        <v>0</v>
      </c>
      <c r="D395" s="15">
        <v>0</v>
      </c>
      <c r="E395" s="15">
        <v>0</v>
      </c>
      <c r="F395" s="15">
        <v>0</v>
      </c>
      <c r="G395" s="15">
        <v>0</v>
      </c>
      <c r="H395" s="15">
        <v>0</v>
      </c>
      <c r="I395" s="15">
        <v>0</v>
      </c>
      <c r="J395" s="15">
        <v>0</v>
      </c>
      <c r="K395" s="15">
        <v>0</v>
      </c>
      <c r="L395" s="15">
        <v>0</v>
      </c>
      <c r="M395" s="15">
        <v>0</v>
      </c>
      <c r="N395" s="15">
        <v>0</v>
      </c>
    </row>
    <row r="396" spans="1:14" x14ac:dyDescent="0.25">
      <c r="A396" s="10" t="s">
        <v>480</v>
      </c>
      <c r="B396" s="15">
        <v>0</v>
      </c>
      <c r="C396" s="15">
        <v>0</v>
      </c>
      <c r="D396" s="15">
        <v>0</v>
      </c>
      <c r="E396" s="15">
        <v>0</v>
      </c>
      <c r="F396" s="15">
        <v>0</v>
      </c>
      <c r="G396" s="15">
        <v>0</v>
      </c>
      <c r="H396" s="15">
        <v>0</v>
      </c>
      <c r="I396" s="15">
        <v>0</v>
      </c>
      <c r="J396" s="15">
        <v>0</v>
      </c>
      <c r="K396" s="15">
        <v>0</v>
      </c>
      <c r="L396" s="15">
        <v>0</v>
      </c>
      <c r="M396" s="15">
        <v>0</v>
      </c>
      <c r="N396" s="15">
        <v>0</v>
      </c>
    </row>
    <row r="397" spans="1:14" x14ac:dyDescent="0.25">
      <c r="A397" s="10" t="s">
        <v>482</v>
      </c>
      <c r="B397" s="15">
        <v>0</v>
      </c>
      <c r="C397" s="15">
        <v>0</v>
      </c>
      <c r="D397" s="15">
        <v>0</v>
      </c>
      <c r="E397" s="15">
        <v>0</v>
      </c>
      <c r="F397" s="15">
        <v>0</v>
      </c>
      <c r="G397" s="15">
        <v>0</v>
      </c>
      <c r="H397" s="15">
        <v>0</v>
      </c>
      <c r="I397" s="15">
        <v>0</v>
      </c>
      <c r="J397" s="15">
        <v>0</v>
      </c>
      <c r="K397" s="15">
        <v>0</v>
      </c>
      <c r="L397" s="15">
        <v>0</v>
      </c>
      <c r="M397" s="15">
        <v>0</v>
      </c>
      <c r="N397" s="15">
        <v>0</v>
      </c>
    </row>
    <row r="398" spans="1:14" x14ac:dyDescent="0.25">
      <c r="A398" s="10" t="s">
        <v>482</v>
      </c>
      <c r="B398" s="15">
        <v>0</v>
      </c>
      <c r="C398" s="15">
        <v>0</v>
      </c>
      <c r="D398" s="15">
        <v>0</v>
      </c>
      <c r="E398" s="15">
        <v>0</v>
      </c>
      <c r="F398" s="15">
        <v>0</v>
      </c>
      <c r="G398" s="15">
        <v>0</v>
      </c>
      <c r="H398" s="15">
        <v>0</v>
      </c>
      <c r="I398" s="15">
        <v>0</v>
      </c>
      <c r="J398" s="15">
        <v>0</v>
      </c>
      <c r="K398" s="15">
        <v>0</v>
      </c>
      <c r="L398" s="15">
        <v>0</v>
      </c>
      <c r="M398" s="15">
        <v>0</v>
      </c>
      <c r="N398" s="15">
        <v>0</v>
      </c>
    </row>
    <row r="399" spans="1:14" x14ac:dyDescent="0.25">
      <c r="A399" s="10" t="s">
        <v>484</v>
      </c>
      <c r="B399" s="15">
        <v>0</v>
      </c>
      <c r="C399" s="15">
        <v>0</v>
      </c>
      <c r="D399" s="15">
        <v>0</v>
      </c>
      <c r="E399" s="15">
        <v>0</v>
      </c>
      <c r="F399" s="15">
        <v>0</v>
      </c>
      <c r="G399" s="15">
        <v>0</v>
      </c>
      <c r="H399" s="15">
        <v>0</v>
      </c>
      <c r="I399" s="15">
        <v>0</v>
      </c>
      <c r="J399" s="15">
        <v>0</v>
      </c>
      <c r="K399" s="15">
        <v>0</v>
      </c>
      <c r="L399" s="15">
        <v>0</v>
      </c>
      <c r="M399" s="15">
        <v>0</v>
      </c>
      <c r="N399" s="15">
        <v>0</v>
      </c>
    </row>
    <row r="400" spans="1:14" x14ac:dyDescent="0.25">
      <c r="A400" s="10" t="s">
        <v>484</v>
      </c>
      <c r="B400" s="15">
        <v>0</v>
      </c>
      <c r="C400" s="15">
        <v>0</v>
      </c>
      <c r="D400" s="15">
        <v>0</v>
      </c>
      <c r="E400" s="15">
        <v>0</v>
      </c>
      <c r="F400" s="15">
        <v>0</v>
      </c>
      <c r="G400" s="15">
        <v>0</v>
      </c>
      <c r="H400" s="15">
        <v>0</v>
      </c>
      <c r="I400" s="15">
        <v>0</v>
      </c>
      <c r="J400" s="15">
        <v>0</v>
      </c>
      <c r="K400" s="15">
        <v>0</v>
      </c>
      <c r="L400" s="15">
        <v>0</v>
      </c>
      <c r="M400" s="15">
        <v>0</v>
      </c>
      <c r="N400" s="15">
        <v>0</v>
      </c>
    </row>
    <row r="401" spans="1:14" x14ac:dyDescent="0.25">
      <c r="A401" s="10" t="s">
        <v>486</v>
      </c>
      <c r="B401" s="15">
        <v>0</v>
      </c>
      <c r="C401" s="15">
        <v>0</v>
      </c>
      <c r="D401" s="15">
        <v>0</v>
      </c>
      <c r="E401" s="15">
        <v>0</v>
      </c>
      <c r="F401" s="15">
        <v>0</v>
      </c>
      <c r="G401" s="15">
        <v>0</v>
      </c>
      <c r="H401" s="15">
        <v>0</v>
      </c>
      <c r="I401" s="15">
        <v>0</v>
      </c>
      <c r="J401" s="15">
        <v>0</v>
      </c>
      <c r="K401" s="15">
        <v>0</v>
      </c>
      <c r="L401" s="15">
        <v>0</v>
      </c>
      <c r="M401" s="15">
        <v>0</v>
      </c>
      <c r="N401" s="15">
        <v>0</v>
      </c>
    </row>
    <row r="402" spans="1:14" x14ac:dyDescent="0.25">
      <c r="A402" s="10" t="s">
        <v>486</v>
      </c>
      <c r="B402" s="15">
        <v>0</v>
      </c>
      <c r="C402" s="15">
        <v>0</v>
      </c>
      <c r="D402" s="15">
        <v>0</v>
      </c>
      <c r="E402" s="15">
        <v>0</v>
      </c>
      <c r="F402" s="15">
        <v>0</v>
      </c>
      <c r="G402" s="15">
        <v>0</v>
      </c>
      <c r="H402" s="15">
        <v>0</v>
      </c>
      <c r="I402" s="15">
        <v>0</v>
      </c>
      <c r="J402" s="15">
        <v>0</v>
      </c>
      <c r="K402" s="15">
        <v>0</v>
      </c>
      <c r="L402" s="15">
        <v>0</v>
      </c>
      <c r="M402" s="15">
        <v>0</v>
      </c>
      <c r="N402" s="15">
        <v>0</v>
      </c>
    </row>
    <row r="403" spans="1:14" x14ac:dyDescent="0.25">
      <c r="A403" s="10" t="s">
        <v>488</v>
      </c>
      <c r="B403" s="15">
        <v>0</v>
      </c>
      <c r="C403" s="15">
        <v>0</v>
      </c>
      <c r="D403" s="15">
        <v>0</v>
      </c>
      <c r="E403" s="15">
        <v>0</v>
      </c>
      <c r="F403" s="15">
        <v>0</v>
      </c>
      <c r="G403" s="15">
        <v>0</v>
      </c>
      <c r="H403" s="15">
        <v>0</v>
      </c>
      <c r="I403" s="15">
        <v>0</v>
      </c>
      <c r="J403" s="15">
        <v>0</v>
      </c>
      <c r="K403" s="15">
        <v>0</v>
      </c>
      <c r="L403" s="15">
        <v>0</v>
      </c>
      <c r="M403" s="15">
        <v>0</v>
      </c>
      <c r="N403" s="15">
        <v>0</v>
      </c>
    </row>
    <row r="404" spans="1:14" x14ac:dyDescent="0.25">
      <c r="A404" s="10" t="s">
        <v>488</v>
      </c>
      <c r="B404" s="15">
        <v>0</v>
      </c>
      <c r="C404" s="15">
        <v>0</v>
      </c>
      <c r="D404" s="15">
        <v>0</v>
      </c>
      <c r="E404" s="15">
        <v>0</v>
      </c>
      <c r="F404" s="15">
        <v>0</v>
      </c>
      <c r="G404" s="15">
        <v>0</v>
      </c>
      <c r="H404" s="15">
        <v>0</v>
      </c>
      <c r="I404" s="15">
        <v>0</v>
      </c>
      <c r="J404" s="15">
        <v>0</v>
      </c>
      <c r="K404" s="15">
        <v>0</v>
      </c>
      <c r="L404" s="15">
        <v>0</v>
      </c>
      <c r="M404" s="15">
        <v>0</v>
      </c>
      <c r="N404" s="15">
        <v>0</v>
      </c>
    </row>
    <row r="405" spans="1:14" x14ac:dyDescent="0.25">
      <c r="A405" s="10" t="s">
        <v>490</v>
      </c>
      <c r="B405" s="15">
        <v>0</v>
      </c>
      <c r="C405" s="15">
        <v>0</v>
      </c>
      <c r="D405" s="15">
        <v>0</v>
      </c>
      <c r="E405" s="15">
        <v>0</v>
      </c>
      <c r="F405" s="15">
        <v>0</v>
      </c>
      <c r="G405" s="15">
        <v>0</v>
      </c>
      <c r="H405" s="15">
        <v>0</v>
      </c>
      <c r="I405" s="15">
        <v>0</v>
      </c>
      <c r="J405" s="15">
        <v>0</v>
      </c>
      <c r="K405" s="15">
        <v>0</v>
      </c>
      <c r="L405" s="15">
        <v>0</v>
      </c>
      <c r="M405" s="15">
        <v>0</v>
      </c>
      <c r="N405" s="15">
        <v>0</v>
      </c>
    </row>
    <row r="406" spans="1:14" x14ac:dyDescent="0.25">
      <c r="A406" s="10" t="s">
        <v>490</v>
      </c>
      <c r="B406" s="15">
        <v>0</v>
      </c>
      <c r="C406" s="15">
        <v>0</v>
      </c>
      <c r="D406" s="15">
        <v>0</v>
      </c>
      <c r="E406" s="15">
        <v>0</v>
      </c>
      <c r="F406" s="15">
        <v>0</v>
      </c>
      <c r="G406" s="15">
        <v>0</v>
      </c>
      <c r="H406" s="15">
        <v>0</v>
      </c>
      <c r="I406" s="15">
        <v>0</v>
      </c>
      <c r="J406" s="15">
        <v>0</v>
      </c>
      <c r="K406" s="15">
        <v>0</v>
      </c>
      <c r="L406" s="15">
        <v>0</v>
      </c>
      <c r="M406" s="15">
        <v>0</v>
      </c>
      <c r="N406" s="15">
        <v>0</v>
      </c>
    </row>
    <row r="407" spans="1:14" x14ac:dyDescent="0.25">
      <c r="A407" s="10" t="s">
        <v>492</v>
      </c>
      <c r="B407" s="15">
        <v>0</v>
      </c>
      <c r="C407" s="15">
        <v>0</v>
      </c>
      <c r="D407" s="15">
        <v>0</v>
      </c>
      <c r="E407" s="15">
        <v>0</v>
      </c>
      <c r="F407" s="15">
        <v>0</v>
      </c>
      <c r="G407" s="15">
        <v>0</v>
      </c>
      <c r="H407" s="15">
        <v>0</v>
      </c>
      <c r="I407" s="15">
        <v>0</v>
      </c>
      <c r="J407" s="15">
        <v>0</v>
      </c>
      <c r="K407" s="15">
        <v>0</v>
      </c>
      <c r="L407" s="15">
        <v>0</v>
      </c>
      <c r="M407" s="15">
        <v>0</v>
      </c>
      <c r="N407" s="15">
        <v>0</v>
      </c>
    </row>
    <row r="408" spans="1:14" x14ac:dyDescent="0.25">
      <c r="A408" s="10" t="s">
        <v>492</v>
      </c>
      <c r="B408" s="15">
        <v>0</v>
      </c>
      <c r="C408" s="15">
        <v>0</v>
      </c>
      <c r="D408" s="15">
        <v>0</v>
      </c>
      <c r="E408" s="15">
        <v>0</v>
      </c>
      <c r="F408" s="15">
        <v>0</v>
      </c>
      <c r="G408" s="15">
        <v>0</v>
      </c>
      <c r="H408" s="15">
        <v>0</v>
      </c>
      <c r="I408" s="15">
        <v>0</v>
      </c>
      <c r="J408" s="15">
        <v>0</v>
      </c>
      <c r="K408" s="15">
        <v>0</v>
      </c>
      <c r="L408" s="15">
        <v>0</v>
      </c>
      <c r="M408" s="15">
        <v>0</v>
      </c>
      <c r="N408" s="15">
        <v>0</v>
      </c>
    </row>
    <row r="409" spans="1:14" x14ac:dyDescent="0.25">
      <c r="A409" s="10" t="s">
        <v>494</v>
      </c>
      <c r="B409" s="15">
        <v>0</v>
      </c>
      <c r="C409" s="15">
        <v>0</v>
      </c>
      <c r="D409" s="15">
        <v>0</v>
      </c>
      <c r="E409" s="15">
        <v>0</v>
      </c>
      <c r="F409" s="15">
        <v>0</v>
      </c>
      <c r="G409" s="15">
        <v>0</v>
      </c>
      <c r="H409" s="15">
        <v>0</v>
      </c>
      <c r="I409" s="15">
        <v>0</v>
      </c>
      <c r="J409" s="15">
        <v>0</v>
      </c>
      <c r="K409" s="15">
        <v>0</v>
      </c>
      <c r="L409" s="15">
        <v>0</v>
      </c>
      <c r="M409" s="15">
        <v>0</v>
      </c>
      <c r="N409" s="15">
        <v>0</v>
      </c>
    </row>
    <row r="410" spans="1:14" x14ac:dyDescent="0.25">
      <c r="A410" s="10" t="s">
        <v>494</v>
      </c>
      <c r="B410" s="15">
        <v>0</v>
      </c>
      <c r="C410" s="15">
        <v>0</v>
      </c>
      <c r="D410" s="15">
        <v>0</v>
      </c>
      <c r="E410" s="15">
        <v>0</v>
      </c>
      <c r="F410" s="15">
        <v>0</v>
      </c>
      <c r="G410" s="15">
        <v>0</v>
      </c>
      <c r="H410" s="15">
        <v>0</v>
      </c>
      <c r="I410" s="15">
        <v>0</v>
      </c>
      <c r="J410" s="15">
        <v>0</v>
      </c>
      <c r="K410" s="15">
        <v>0</v>
      </c>
      <c r="L410" s="15">
        <v>0</v>
      </c>
      <c r="M410" s="15">
        <v>0</v>
      </c>
      <c r="N410" s="15">
        <v>0</v>
      </c>
    </row>
    <row r="411" spans="1:14" x14ac:dyDescent="0.25">
      <c r="A411" s="10" t="s">
        <v>496</v>
      </c>
      <c r="B411" s="15">
        <v>0</v>
      </c>
      <c r="C411" s="15">
        <v>0</v>
      </c>
      <c r="D411" s="15">
        <v>0</v>
      </c>
      <c r="E411" s="15">
        <v>0</v>
      </c>
      <c r="F411" s="15">
        <v>0</v>
      </c>
      <c r="G411" s="15">
        <v>0</v>
      </c>
      <c r="H411" s="15">
        <v>0</v>
      </c>
      <c r="I411" s="15">
        <v>0</v>
      </c>
      <c r="J411" s="15">
        <v>0</v>
      </c>
      <c r="K411" s="15">
        <v>0</v>
      </c>
      <c r="L411" s="15">
        <v>0</v>
      </c>
      <c r="M411" s="15">
        <v>0</v>
      </c>
      <c r="N411" s="15">
        <v>0</v>
      </c>
    </row>
    <row r="412" spans="1:14" x14ac:dyDescent="0.25">
      <c r="A412" s="10" t="s">
        <v>496</v>
      </c>
      <c r="B412" s="15">
        <v>0</v>
      </c>
      <c r="C412" s="15">
        <v>0</v>
      </c>
      <c r="D412" s="15">
        <v>0</v>
      </c>
      <c r="E412" s="15">
        <v>0</v>
      </c>
      <c r="F412" s="15">
        <v>0</v>
      </c>
      <c r="G412" s="15">
        <v>0</v>
      </c>
      <c r="H412" s="15">
        <v>0</v>
      </c>
      <c r="I412" s="15">
        <v>0</v>
      </c>
      <c r="J412" s="15">
        <v>0</v>
      </c>
      <c r="K412" s="15">
        <v>0</v>
      </c>
      <c r="L412" s="15">
        <v>0</v>
      </c>
      <c r="M412" s="15">
        <v>0</v>
      </c>
      <c r="N412" s="15">
        <v>0</v>
      </c>
    </row>
    <row r="413" spans="1:14" x14ac:dyDescent="0.25">
      <c r="A413" s="10" t="s">
        <v>498</v>
      </c>
      <c r="B413" s="15">
        <v>0</v>
      </c>
      <c r="C413" s="15">
        <v>0</v>
      </c>
      <c r="D413" s="15">
        <v>0</v>
      </c>
      <c r="E413" s="15">
        <v>0</v>
      </c>
      <c r="F413" s="15">
        <v>0</v>
      </c>
      <c r="G413" s="15">
        <v>0</v>
      </c>
      <c r="H413" s="15">
        <v>0</v>
      </c>
      <c r="I413" s="15">
        <v>0</v>
      </c>
      <c r="J413" s="15">
        <v>0</v>
      </c>
      <c r="K413" s="15">
        <v>0</v>
      </c>
      <c r="L413" s="15">
        <v>0</v>
      </c>
      <c r="M413" s="15">
        <v>0</v>
      </c>
      <c r="N413" s="15">
        <v>0</v>
      </c>
    </row>
    <row r="414" spans="1:14" x14ac:dyDescent="0.25">
      <c r="A414" s="10" t="s">
        <v>498</v>
      </c>
      <c r="B414" s="15">
        <v>0</v>
      </c>
      <c r="C414" s="15">
        <v>0</v>
      </c>
      <c r="D414" s="15">
        <v>0</v>
      </c>
      <c r="E414" s="15">
        <v>0</v>
      </c>
      <c r="F414" s="15">
        <v>0</v>
      </c>
      <c r="G414" s="15">
        <v>0</v>
      </c>
      <c r="H414" s="15">
        <v>0</v>
      </c>
      <c r="I414" s="15">
        <v>0</v>
      </c>
      <c r="J414" s="15">
        <v>0</v>
      </c>
      <c r="K414" s="15">
        <v>0</v>
      </c>
      <c r="L414" s="15">
        <v>0</v>
      </c>
      <c r="M414" s="15">
        <v>0</v>
      </c>
      <c r="N414" s="15">
        <v>0</v>
      </c>
    </row>
    <row r="415" spans="1:14" x14ac:dyDescent="0.25">
      <c r="A415" s="10" t="s">
        <v>500</v>
      </c>
      <c r="B415" s="15">
        <v>0</v>
      </c>
      <c r="C415" s="15">
        <v>0</v>
      </c>
      <c r="D415" s="15">
        <v>0</v>
      </c>
      <c r="E415" s="15">
        <v>0</v>
      </c>
      <c r="F415" s="15">
        <v>0</v>
      </c>
      <c r="G415" s="15">
        <v>0</v>
      </c>
      <c r="H415" s="15">
        <v>0</v>
      </c>
      <c r="I415" s="15">
        <v>0</v>
      </c>
      <c r="J415" s="15">
        <v>0</v>
      </c>
      <c r="K415" s="15">
        <v>0</v>
      </c>
      <c r="L415" s="15">
        <v>0</v>
      </c>
      <c r="M415" s="15">
        <v>0</v>
      </c>
      <c r="N415" s="15">
        <v>0</v>
      </c>
    </row>
    <row r="416" spans="1:14" x14ac:dyDescent="0.25">
      <c r="A416" s="10" t="s">
        <v>500</v>
      </c>
      <c r="B416" s="15">
        <v>0</v>
      </c>
      <c r="C416" s="15">
        <v>0</v>
      </c>
      <c r="D416" s="15">
        <v>0</v>
      </c>
      <c r="E416" s="15">
        <v>0</v>
      </c>
      <c r="F416" s="15">
        <v>0</v>
      </c>
      <c r="G416" s="15">
        <v>0</v>
      </c>
      <c r="H416" s="15">
        <v>0</v>
      </c>
      <c r="I416" s="15">
        <v>0</v>
      </c>
      <c r="J416" s="15">
        <v>0</v>
      </c>
      <c r="K416" s="15">
        <v>0</v>
      </c>
      <c r="L416" s="15">
        <v>0</v>
      </c>
      <c r="M416" s="15">
        <v>0</v>
      </c>
      <c r="N416" s="15">
        <v>0</v>
      </c>
    </row>
    <row r="417" spans="1:14" x14ac:dyDescent="0.25">
      <c r="A417" s="10" t="s">
        <v>502</v>
      </c>
      <c r="B417" s="15">
        <v>0</v>
      </c>
      <c r="C417" s="15">
        <v>0</v>
      </c>
      <c r="D417" s="15">
        <v>0</v>
      </c>
      <c r="E417" s="15">
        <v>0</v>
      </c>
      <c r="F417" s="15">
        <v>0</v>
      </c>
      <c r="G417" s="15">
        <v>0</v>
      </c>
      <c r="H417" s="15">
        <v>0</v>
      </c>
      <c r="I417" s="15">
        <v>0</v>
      </c>
      <c r="J417" s="15">
        <v>0</v>
      </c>
      <c r="K417" s="15">
        <v>0</v>
      </c>
      <c r="L417" s="15">
        <v>0</v>
      </c>
      <c r="M417" s="15">
        <v>0</v>
      </c>
      <c r="N417" s="15">
        <v>0</v>
      </c>
    </row>
    <row r="418" spans="1:14" x14ac:dyDescent="0.25">
      <c r="A418" s="10" t="s">
        <v>502</v>
      </c>
      <c r="B418" s="15">
        <v>0</v>
      </c>
      <c r="C418" s="15">
        <v>0</v>
      </c>
      <c r="D418" s="15">
        <v>0</v>
      </c>
      <c r="E418" s="15">
        <v>0</v>
      </c>
      <c r="F418" s="15">
        <v>0</v>
      </c>
      <c r="G418" s="15">
        <v>0</v>
      </c>
      <c r="H418" s="15">
        <v>0</v>
      </c>
      <c r="I418" s="15">
        <v>0</v>
      </c>
      <c r="J418" s="15">
        <v>0</v>
      </c>
      <c r="K418" s="15">
        <v>0</v>
      </c>
      <c r="L418" s="15">
        <v>0</v>
      </c>
      <c r="M418" s="15">
        <v>0</v>
      </c>
      <c r="N418" s="15">
        <v>0</v>
      </c>
    </row>
    <row r="419" spans="1:14" x14ac:dyDescent="0.25">
      <c r="A419" s="10" t="s">
        <v>504</v>
      </c>
      <c r="B419" s="15">
        <v>0</v>
      </c>
      <c r="C419" s="15">
        <v>0</v>
      </c>
      <c r="D419" s="15">
        <v>0</v>
      </c>
      <c r="E419" s="15">
        <v>0</v>
      </c>
      <c r="F419" s="15">
        <v>0</v>
      </c>
      <c r="G419" s="15">
        <v>0</v>
      </c>
      <c r="H419" s="15">
        <v>0</v>
      </c>
      <c r="I419" s="15">
        <v>0</v>
      </c>
      <c r="J419" s="15">
        <v>0</v>
      </c>
      <c r="K419" s="15">
        <v>0</v>
      </c>
      <c r="L419" s="15">
        <v>0</v>
      </c>
      <c r="M419" s="15">
        <v>0</v>
      </c>
      <c r="N419" s="15">
        <v>0</v>
      </c>
    </row>
    <row r="420" spans="1:14" x14ac:dyDescent="0.25">
      <c r="A420" s="10" t="s">
        <v>504</v>
      </c>
      <c r="B420" s="15">
        <v>0</v>
      </c>
      <c r="C420" s="15">
        <v>0</v>
      </c>
      <c r="D420" s="15">
        <v>0</v>
      </c>
      <c r="E420" s="15">
        <v>0</v>
      </c>
      <c r="F420" s="15">
        <v>0</v>
      </c>
      <c r="G420" s="15">
        <v>0</v>
      </c>
      <c r="H420" s="15">
        <v>0</v>
      </c>
      <c r="I420" s="15">
        <v>0</v>
      </c>
      <c r="J420" s="15">
        <v>0</v>
      </c>
      <c r="K420" s="15">
        <v>0</v>
      </c>
      <c r="L420" s="15">
        <v>0</v>
      </c>
      <c r="M420" s="15">
        <v>0</v>
      </c>
      <c r="N420" s="15">
        <v>0</v>
      </c>
    </row>
    <row r="421" spans="1:14" x14ac:dyDescent="0.25">
      <c r="A421" s="10" t="s">
        <v>506</v>
      </c>
      <c r="B421" s="15">
        <v>0</v>
      </c>
      <c r="C421" s="15">
        <v>0</v>
      </c>
      <c r="D421" s="15">
        <v>0</v>
      </c>
      <c r="E421" s="15">
        <v>0</v>
      </c>
      <c r="F421" s="15">
        <v>0</v>
      </c>
      <c r="G421" s="15">
        <v>0</v>
      </c>
      <c r="H421" s="15">
        <v>0</v>
      </c>
      <c r="I421" s="15">
        <v>0</v>
      </c>
      <c r="J421" s="15">
        <v>0</v>
      </c>
      <c r="K421" s="15">
        <v>0</v>
      </c>
      <c r="L421" s="15">
        <v>0</v>
      </c>
      <c r="M421" s="15">
        <v>0</v>
      </c>
      <c r="N421" s="15">
        <v>0</v>
      </c>
    </row>
    <row r="422" spans="1:14" x14ac:dyDescent="0.25">
      <c r="A422" s="10" t="s">
        <v>506</v>
      </c>
      <c r="B422" s="15">
        <v>0</v>
      </c>
      <c r="C422" s="15">
        <v>0</v>
      </c>
      <c r="D422" s="15">
        <v>0</v>
      </c>
      <c r="E422" s="15">
        <v>0</v>
      </c>
      <c r="F422" s="15">
        <v>0</v>
      </c>
      <c r="G422" s="15">
        <v>0</v>
      </c>
      <c r="H422" s="15">
        <v>0</v>
      </c>
      <c r="I422" s="15">
        <v>0</v>
      </c>
      <c r="J422" s="15">
        <v>0</v>
      </c>
      <c r="K422" s="15">
        <v>0</v>
      </c>
      <c r="L422" s="15">
        <v>0</v>
      </c>
      <c r="M422" s="15">
        <v>0</v>
      </c>
      <c r="N422" s="15">
        <v>0</v>
      </c>
    </row>
    <row r="423" spans="1:14" x14ac:dyDescent="0.25">
      <c r="A423" s="10" t="s">
        <v>508</v>
      </c>
      <c r="B423" s="15">
        <v>0</v>
      </c>
      <c r="C423" s="15">
        <v>0</v>
      </c>
      <c r="D423" s="15">
        <v>0</v>
      </c>
      <c r="E423" s="15">
        <v>0</v>
      </c>
      <c r="F423" s="15">
        <v>0</v>
      </c>
      <c r="G423" s="15">
        <v>0</v>
      </c>
      <c r="H423" s="15">
        <v>0</v>
      </c>
      <c r="I423" s="15">
        <v>0</v>
      </c>
      <c r="J423" s="15">
        <v>0</v>
      </c>
      <c r="K423" s="15">
        <v>0</v>
      </c>
      <c r="L423" s="15">
        <v>0</v>
      </c>
      <c r="M423" s="15">
        <v>0</v>
      </c>
      <c r="N423" s="15">
        <v>0</v>
      </c>
    </row>
    <row r="424" spans="1:14" x14ac:dyDescent="0.25">
      <c r="A424" s="10" t="s">
        <v>508</v>
      </c>
      <c r="B424" s="15">
        <v>0</v>
      </c>
      <c r="C424" s="15">
        <v>0</v>
      </c>
      <c r="D424" s="15">
        <v>0</v>
      </c>
      <c r="E424" s="15">
        <v>0</v>
      </c>
      <c r="F424" s="15">
        <v>0</v>
      </c>
      <c r="G424" s="15">
        <v>0</v>
      </c>
      <c r="H424" s="15">
        <v>0</v>
      </c>
      <c r="I424" s="15">
        <v>0</v>
      </c>
      <c r="J424" s="15">
        <v>0</v>
      </c>
      <c r="K424" s="15">
        <v>0</v>
      </c>
      <c r="L424" s="15">
        <v>0</v>
      </c>
      <c r="M424" s="15">
        <v>0</v>
      </c>
      <c r="N424" s="15">
        <v>0</v>
      </c>
    </row>
    <row r="425" spans="1:14" x14ac:dyDescent="0.25">
      <c r="A425" s="10" t="s">
        <v>510</v>
      </c>
      <c r="B425" s="15">
        <v>0</v>
      </c>
      <c r="C425" s="15">
        <v>0</v>
      </c>
      <c r="D425" s="15">
        <v>0</v>
      </c>
      <c r="E425" s="15">
        <v>0</v>
      </c>
      <c r="F425" s="15">
        <v>0</v>
      </c>
      <c r="G425" s="15">
        <v>0</v>
      </c>
      <c r="H425" s="15">
        <v>0</v>
      </c>
      <c r="I425" s="15">
        <v>0</v>
      </c>
      <c r="J425" s="15">
        <v>0</v>
      </c>
      <c r="K425" s="15">
        <v>0</v>
      </c>
      <c r="L425" s="15">
        <v>0</v>
      </c>
      <c r="M425" s="15">
        <v>0</v>
      </c>
      <c r="N425" s="15">
        <v>0</v>
      </c>
    </row>
    <row r="426" spans="1:14" x14ac:dyDescent="0.25">
      <c r="A426" s="10" t="s">
        <v>510</v>
      </c>
      <c r="B426" s="15">
        <v>0</v>
      </c>
      <c r="C426" s="15">
        <v>0</v>
      </c>
      <c r="D426" s="15">
        <v>0</v>
      </c>
      <c r="E426" s="15">
        <v>0</v>
      </c>
      <c r="F426" s="15">
        <v>0</v>
      </c>
      <c r="G426" s="15">
        <v>0</v>
      </c>
      <c r="H426" s="15">
        <v>0</v>
      </c>
      <c r="I426" s="15">
        <v>0</v>
      </c>
      <c r="J426" s="15">
        <v>0</v>
      </c>
      <c r="K426" s="15">
        <v>0</v>
      </c>
      <c r="L426" s="15">
        <v>0</v>
      </c>
      <c r="M426" s="15">
        <v>0</v>
      </c>
      <c r="N426" s="15">
        <v>0</v>
      </c>
    </row>
    <row r="427" spans="1:14" x14ac:dyDescent="0.25">
      <c r="A427" s="10" t="s">
        <v>512</v>
      </c>
      <c r="B427" s="15">
        <v>0</v>
      </c>
      <c r="C427" s="15">
        <v>0</v>
      </c>
      <c r="D427" s="15">
        <v>0</v>
      </c>
      <c r="E427" s="15">
        <v>0</v>
      </c>
      <c r="F427" s="15">
        <v>0</v>
      </c>
      <c r="G427" s="15">
        <v>0</v>
      </c>
      <c r="H427" s="15">
        <v>0</v>
      </c>
      <c r="I427" s="15">
        <v>0</v>
      </c>
      <c r="J427" s="15">
        <v>0</v>
      </c>
      <c r="K427" s="15">
        <v>0</v>
      </c>
      <c r="L427" s="15">
        <v>0</v>
      </c>
      <c r="M427" s="15">
        <v>0</v>
      </c>
      <c r="N427" s="15">
        <v>0</v>
      </c>
    </row>
    <row r="428" spans="1:14" x14ac:dyDescent="0.25">
      <c r="A428" s="10" t="s">
        <v>512</v>
      </c>
      <c r="B428" s="15">
        <v>0</v>
      </c>
      <c r="C428" s="15">
        <v>0</v>
      </c>
      <c r="D428" s="15">
        <v>0</v>
      </c>
      <c r="E428" s="15">
        <v>0</v>
      </c>
      <c r="F428" s="15">
        <v>0</v>
      </c>
      <c r="G428" s="15">
        <v>0</v>
      </c>
      <c r="H428" s="15">
        <v>0</v>
      </c>
      <c r="I428" s="15">
        <v>0</v>
      </c>
      <c r="J428" s="15">
        <v>0</v>
      </c>
      <c r="K428" s="15">
        <v>0</v>
      </c>
      <c r="L428" s="15">
        <v>0</v>
      </c>
      <c r="M428" s="15">
        <v>0</v>
      </c>
      <c r="N428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6"/>
  <dimension ref="A1:N215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</row>
    <row r="5" spans="1:14" x14ac:dyDescent="0.25">
      <c r="A5" s="10" t="s">
        <v>92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</row>
    <row r="6" spans="1:14" x14ac:dyDescent="0.25">
      <c r="A6" s="10" t="s">
        <v>94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</row>
    <row r="7" spans="1:14" x14ac:dyDescent="0.25">
      <c r="A7" s="10" t="s">
        <v>96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</row>
    <row r="8" spans="1:14" x14ac:dyDescent="0.25">
      <c r="A8" s="10" t="s">
        <v>98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</row>
    <row r="9" spans="1:14" x14ac:dyDescent="0.25">
      <c r="A9" s="10" t="s">
        <v>100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10" t="s">
        <v>110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10" t="s">
        <v>112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</row>
    <row r="16" spans="1:14" x14ac:dyDescent="0.25">
      <c r="A16" s="10" t="s">
        <v>114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</row>
    <row r="17" spans="1:14" x14ac:dyDescent="0.25">
      <c r="A17" s="10" t="s">
        <v>116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</row>
    <row r="18" spans="1:14" x14ac:dyDescent="0.25">
      <c r="A18" s="10" t="s">
        <v>118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</row>
    <row r="20" spans="1:14" x14ac:dyDescent="0.25">
      <c r="A20" s="10" t="s">
        <v>122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</row>
    <row r="21" spans="1:14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</row>
    <row r="22" spans="1:14" x14ac:dyDescent="0.25">
      <c r="A22" s="10" t="s">
        <v>126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</row>
    <row r="23" spans="1:14" x14ac:dyDescent="0.25">
      <c r="A23" s="10" t="s">
        <v>128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</row>
    <row r="24" spans="1:14" x14ac:dyDescent="0.25">
      <c r="A24" s="10" t="s">
        <v>130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</row>
    <row r="25" spans="1:14" x14ac:dyDescent="0.25">
      <c r="A25" s="10" t="s">
        <v>132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</row>
    <row r="26" spans="1:14" x14ac:dyDescent="0.25">
      <c r="A26" s="10" t="s">
        <v>134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</row>
    <row r="27" spans="1:14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</row>
    <row r="28" spans="1:14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</row>
    <row r="29" spans="1:14" x14ac:dyDescent="0.25">
      <c r="A29" s="10" t="s">
        <v>140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</row>
    <row r="30" spans="1:14" x14ac:dyDescent="0.25">
      <c r="A30" s="10" t="s">
        <v>142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</row>
    <row r="31" spans="1:14" x14ac:dyDescent="0.25">
      <c r="A31" s="10" t="s">
        <v>144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</row>
    <row r="32" spans="1:14" x14ac:dyDescent="0.25">
      <c r="A32" s="10" t="s">
        <v>146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</row>
    <row r="33" spans="1:14" x14ac:dyDescent="0.25">
      <c r="A33" s="10" t="s">
        <v>148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</row>
    <row r="34" spans="1:14" x14ac:dyDescent="0.25">
      <c r="A34" s="10" t="s">
        <v>150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</row>
    <row r="35" spans="1:14" x14ac:dyDescent="0.25">
      <c r="A35" s="10" t="s">
        <v>152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</row>
    <row r="36" spans="1:14" x14ac:dyDescent="0.25">
      <c r="A36" s="10" t="s">
        <v>154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</row>
    <row r="37" spans="1:14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</row>
    <row r="38" spans="1:14" x14ac:dyDescent="0.25">
      <c r="A38" s="10" t="s">
        <v>158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</row>
    <row r="39" spans="1:14" x14ac:dyDescent="0.25">
      <c r="A39" s="10" t="s">
        <v>160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</row>
    <row r="40" spans="1:14" x14ac:dyDescent="0.25">
      <c r="A40" s="10" t="s">
        <v>162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</row>
    <row r="41" spans="1:14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</row>
    <row r="42" spans="1:14" x14ac:dyDescent="0.25">
      <c r="A42" s="10" t="s">
        <v>166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</row>
    <row r="43" spans="1:14" x14ac:dyDescent="0.25">
      <c r="A43" s="10" t="s">
        <v>168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</row>
    <row r="44" spans="1:14" x14ac:dyDescent="0.25">
      <c r="A44" s="10" t="s">
        <v>170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</row>
    <row r="45" spans="1:14" x14ac:dyDescent="0.25">
      <c r="A45" s="10" t="s">
        <v>172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</row>
    <row r="46" spans="1:14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</row>
    <row r="47" spans="1:14" x14ac:dyDescent="0.25">
      <c r="A47" s="10" t="s">
        <v>176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</row>
    <row r="48" spans="1:14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</row>
    <row r="49" spans="1:14" x14ac:dyDescent="0.25">
      <c r="A49" s="10" t="s">
        <v>180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</row>
    <row r="50" spans="1:14" x14ac:dyDescent="0.25">
      <c r="A50" s="10" t="s">
        <v>182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</row>
    <row r="51" spans="1:14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</row>
    <row r="52" spans="1:14" x14ac:dyDescent="0.25">
      <c r="A52" s="10" t="s">
        <v>186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</row>
    <row r="53" spans="1:14" x14ac:dyDescent="0.25">
      <c r="A53" s="10" t="s">
        <v>188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</row>
    <row r="54" spans="1:14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</row>
    <row r="55" spans="1:14" x14ac:dyDescent="0.25">
      <c r="A55" s="10" t="s">
        <v>192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</row>
    <row r="56" spans="1:14" x14ac:dyDescent="0.25">
      <c r="A56" s="10" t="s">
        <v>194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</row>
    <row r="57" spans="1:14" x14ac:dyDescent="0.25">
      <c r="A57" s="10" t="s">
        <v>196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</row>
    <row r="58" spans="1:14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</row>
    <row r="59" spans="1:14" x14ac:dyDescent="0.25">
      <c r="A59" s="10" t="s">
        <v>200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</row>
    <row r="60" spans="1:14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</row>
    <row r="61" spans="1:14" x14ac:dyDescent="0.25">
      <c r="A61" s="10" t="s">
        <v>204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</row>
    <row r="62" spans="1:14" x14ac:dyDescent="0.25">
      <c r="A62" s="10" t="s">
        <v>206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</row>
    <row r="63" spans="1:14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5">
      <c r="A65" s="10" t="s">
        <v>212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5">
      <c r="A66" s="10" t="s">
        <v>214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5">
      <c r="A67" s="10" t="s">
        <v>216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5">
      <c r="A70" s="10" t="s">
        <v>222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5">
      <c r="A72" s="10" t="s">
        <v>226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</row>
    <row r="75" spans="1:14" x14ac:dyDescent="0.25">
      <c r="A75" s="10" t="s">
        <v>232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>
        <v>0</v>
      </c>
    </row>
    <row r="76" spans="1:14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5">
      <c r="A77" s="10" t="s">
        <v>236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</row>
    <row r="78" spans="1:14" x14ac:dyDescent="0.25">
      <c r="A78" s="10" t="s">
        <v>238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</row>
    <row r="79" spans="1:14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</row>
    <row r="80" spans="1:14" x14ac:dyDescent="0.25">
      <c r="A80" s="10" t="s">
        <v>242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</row>
    <row r="81" spans="1:14" x14ac:dyDescent="0.25">
      <c r="A81" s="10" t="s">
        <v>244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</row>
    <row r="82" spans="1:14" x14ac:dyDescent="0.25">
      <c r="A82" s="10" t="s">
        <v>246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</row>
    <row r="83" spans="1:14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>
        <v>0</v>
      </c>
    </row>
    <row r="84" spans="1:14" x14ac:dyDescent="0.25">
      <c r="A84" s="10" t="s">
        <v>250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</row>
    <row r="85" spans="1:14" x14ac:dyDescent="0.25">
      <c r="A85" s="10" t="s">
        <v>252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</row>
    <row r="86" spans="1:14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5">
      <c r="A87" s="10" t="s">
        <v>256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  <c r="N87" s="15">
        <v>0</v>
      </c>
    </row>
    <row r="88" spans="1:14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</row>
    <row r="89" spans="1:14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>
        <v>0</v>
      </c>
    </row>
    <row r="90" spans="1:14" x14ac:dyDescent="0.25">
      <c r="A90" s="10" t="s">
        <v>262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</row>
    <row r="91" spans="1:14" x14ac:dyDescent="0.25">
      <c r="A91" s="10" t="s">
        <v>264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  <c r="N91" s="15">
        <v>0</v>
      </c>
    </row>
    <row r="92" spans="1:14" x14ac:dyDescent="0.25">
      <c r="A92" s="10" t="s">
        <v>266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</row>
    <row r="93" spans="1:14" x14ac:dyDescent="0.25">
      <c r="A93" s="10" t="s">
        <v>268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</row>
    <row r="94" spans="1:14" x14ac:dyDescent="0.25">
      <c r="A94" s="10" t="s">
        <v>270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</row>
    <row r="95" spans="1:14" x14ac:dyDescent="0.25">
      <c r="A95" s="10" t="s">
        <v>272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0</v>
      </c>
    </row>
    <row r="96" spans="1:14" x14ac:dyDescent="0.25">
      <c r="A96" s="10" t="s">
        <v>274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</row>
    <row r="97" spans="1:14" x14ac:dyDescent="0.25">
      <c r="A97" s="10" t="s">
        <v>276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</row>
    <row r="98" spans="1:14" x14ac:dyDescent="0.25">
      <c r="A98" s="10" t="s">
        <v>278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</row>
    <row r="99" spans="1:14" x14ac:dyDescent="0.25">
      <c r="A99" s="10" t="s">
        <v>280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>
        <v>0</v>
      </c>
    </row>
    <row r="100" spans="1:14" x14ac:dyDescent="0.25">
      <c r="A100" s="10" t="s">
        <v>282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</row>
    <row r="101" spans="1:14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</row>
    <row r="102" spans="1:14" x14ac:dyDescent="0.25">
      <c r="A102" s="10" t="s">
        <v>286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</row>
    <row r="103" spans="1:14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</row>
    <row r="104" spans="1:14" x14ac:dyDescent="0.25">
      <c r="A104" s="10" t="s">
        <v>290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</row>
    <row r="105" spans="1:14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</row>
    <row r="106" spans="1:14" x14ac:dyDescent="0.25">
      <c r="A106" s="10" t="s">
        <v>294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</row>
    <row r="107" spans="1:14" x14ac:dyDescent="0.25">
      <c r="A107" s="10" t="s">
        <v>296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</row>
    <row r="108" spans="1:14" x14ac:dyDescent="0.25">
      <c r="A108" s="10" t="s">
        <v>298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</row>
    <row r="109" spans="1:14" x14ac:dyDescent="0.25">
      <c r="A109" s="10" t="s">
        <v>300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</row>
    <row r="110" spans="1:14" x14ac:dyDescent="0.25">
      <c r="A110" s="10" t="s">
        <v>302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</row>
    <row r="111" spans="1:14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</row>
    <row r="112" spans="1:14" x14ac:dyDescent="0.25">
      <c r="A112" s="10" t="s">
        <v>306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</row>
    <row r="113" spans="1:14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</row>
    <row r="114" spans="1:14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</row>
    <row r="115" spans="1:14" x14ac:dyDescent="0.25">
      <c r="A115" s="10" t="s">
        <v>312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</row>
    <row r="116" spans="1:14" x14ac:dyDescent="0.25">
      <c r="A116" s="10" t="s">
        <v>314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</row>
    <row r="117" spans="1:14" x14ac:dyDescent="0.25">
      <c r="A117" s="10" t="s">
        <v>316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</row>
    <row r="118" spans="1:14" x14ac:dyDescent="0.25">
      <c r="A118" s="10" t="s">
        <v>318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</row>
    <row r="119" spans="1:14" x14ac:dyDescent="0.25">
      <c r="A119" s="10" t="s">
        <v>320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</row>
    <row r="120" spans="1:14" x14ac:dyDescent="0.25">
      <c r="A120" s="10" t="s">
        <v>322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</row>
    <row r="121" spans="1:14" x14ac:dyDescent="0.25">
      <c r="A121" s="10" t="s">
        <v>324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>
        <v>0</v>
      </c>
    </row>
    <row r="122" spans="1:14" x14ac:dyDescent="0.25">
      <c r="A122" s="10" t="s">
        <v>326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</row>
    <row r="123" spans="1:14" x14ac:dyDescent="0.25">
      <c r="A123" s="10" t="s">
        <v>328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</row>
    <row r="124" spans="1:14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</row>
    <row r="125" spans="1:14" x14ac:dyDescent="0.25">
      <c r="A125" s="10" t="s">
        <v>332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5">
      <c r="A126" s="10" t="s">
        <v>334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</row>
    <row r="127" spans="1:14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</row>
    <row r="128" spans="1:14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</row>
    <row r="129" spans="1:14" x14ac:dyDescent="0.25">
      <c r="A129" s="10" t="s">
        <v>340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</row>
    <row r="130" spans="1:14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</row>
    <row r="131" spans="1:14" x14ac:dyDescent="0.25">
      <c r="A131" s="10" t="s">
        <v>344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</row>
    <row r="132" spans="1:14" x14ac:dyDescent="0.25">
      <c r="A132" s="10" t="s">
        <v>346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</row>
    <row r="133" spans="1:14" x14ac:dyDescent="0.25">
      <c r="A133" s="10" t="s">
        <v>348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  <c r="N133" s="15">
        <v>0</v>
      </c>
    </row>
    <row r="134" spans="1:14" x14ac:dyDescent="0.25">
      <c r="A134" s="10" t="s">
        <v>350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</row>
    <row r="135" spans="1:14" x14ac:dyDescent="0.25">
      <c r="A135" s="10" t="s">
        <v>352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5">
        <v>0</v>
      </c>
    </row>
    <row r="136" spans="1:14" x14ac:dyDescent="0.25">
      <c r="A136" s="10" t="s">
        <v>354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</row>
    <row r="137" spans="1:14" x14ac:dyDescent="0.25">
      <c r="A137" s="10" t="s">
        <v>356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  <c r="N137" s="15">
        <v>0</v>
      </c>
    </row>
    <row r="138" spans="1:14" x14ac:dyDescent="0.25">
      <c r="A138" s="10" t="s">
        <v>358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</row>
    <row r="139" spans="1:14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>
        <v>0</v>
      </c>
    </row>
    <row r="140" spans="1:14" x14ac:dyDescent="0.25">
      <c r="A140" s="10" t="s">
        <v>362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</row>
    <row r="141" spans="1:14" x14ac:dyDescent="0.25">
      <c r="A141" s="10" t="s">
        <v>364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>
        <v>0</v>
      </c>
    </row>
    <row r="142" spans="1:14" x14ac:dyDescent="0.25">
      <c r="A142" s="10" t="s">
        <v>366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</row>
    <row r="143" spans="1:14" x14ac:dyDescent="0.25">
      <c r="A143" s="10" t="s">
        <v>368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</row>
    <row r="144" spans="1:14" x14ac:dyDescent="0.25">
      <c r="A144" s="10" t="s">
        <v>370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</row>
    <row r="145" spans="1:14" x14ac:dyDescent="0.25">
      <c r="A145" s="10" t="s">
        <v>372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>
        <v>0</v>
      </c>
    </row>
    <row r="146" spans="1:14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</row>
    <row r="147" spans="1:14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  <c r="N147" s="15">
        <v>0</v>
      </c>
    </row>
    <row r="148" spans="1:14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</row>
    <row r="149" spans="1:14" x14ac:dyDescent="0.25">
      <c r="A149" s="10" t="s">
        <v>380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</row>
    <row r="150" spans="1:14" x14ac:dyDescent="0.25">
      <c r="A150" s="10" t="s">
        <v>382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</row>
    <row r="151" spans="1:14" x14ac:dyDescent="0.25">
      <c r="A151" s="10" t="s">
        <v>384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</row>
    <row r="152" spans="1:14" x14ac:dyDescent="0.25">
      <c r="A152" s="10" t="s">
        <v>386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</row>
    <row r="153" spans="1:14" x14ac:dyDescent="0.25">
      <c r="A153" s="10" t="s">
        <v>388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  <c r="N153" s="15">
        <v>0</v>
      </c>
    </row>
    <row r="154" spans="1:14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</row>
    <row r="155" spans="1:14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  <c r="N155" s="15">
        <v>0</v>
      </c>
    </row>
    <row r="156" spans="1:14" x14ac:dyDescent="0.25">
      <c r="A156" s="10" t="s">
        <v>394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</row>
    <row r="157" spans="1:14" x14ac:dyDescent="0.25">
      <c r="A157" s="10" t="s">
        <v>396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  <c r="N157" s="15">
        <v>0</v>
      </c>
    </row>
    <row r="158" spans="1:14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</row>
    <row r="159" spans="1:14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</row>
    <row r="160" spans="1:14" x14ac:dyDescent="0.25">
      <c r="A160" s="10" t="s">
        <v>402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</row>
    <row r="161" spans="1:14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</row>
    <row r="162" spans="1:14" x14ac:dyDescent="0.25">
      <c r="A162" s="10" t="s">
        <v>406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</row>
    <row r="163" spans="1:14" x14ac:dyDescent="0.25">
      <c r="A163" s="10" t="s">
        <v>408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</row>
    <row r="164" spans="1:14" x14ac:dyDescent="0.25">
      <c r="A164" s="10" t="s">
        <v>410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</row>
    <row r="165" spans="1:14" x14ac:dyDescent="0.25">
      <c r="A165" s="10" t="s">
        <v>412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  <c r="N165" s="15">
        <v>0</v>
      </c>
    </row>
    <row r="166" spans="1:14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</row>
    <row r="167" spans="1:14" x14ac:dyDescent="0.25">
      <c r="A167" s="10" t="s">
        <v>416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>
        <v>0</v>
      </c>
    </row>
    <row r="168" spans="1:14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</row>
    <row r="169" spans="1:14" x14ac:dyDescent="0.25">
      <c r="A169" s="10" t="s">
        <v>420</v>
      </c>
      <c r="B169" s="15">
        <v>0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  <c r="N169" s="15">
        <v>0</v>
      </c>
    </row>
    <row r="170" spans="1:14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</row>
    <row r="171" spans="1:14" x14ac:dyDescent="0.25">
      <c r="A171" s="10" t="s">
        <v>424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>
        <v>0</v>
      </c>
    </row>
    <row r="172" spans="1:14" x14ac:dyDescent="0.25">
      <c r="A172" s="10" t="s">
        <v>426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</row>
    <row r="173" spans="1:14" x14ac:dyDescent="0.25">
      <c r="A173" s="10" t="s">
        <v>428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  <c r="N173" s="15">
        <v>0</v>
      </c>
    </row>
    <row r="174" spans="1:14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</row>
    <row r="175" spans="1:14" x14ac:dyDescent="0.25">
      <c r="A175" s="10" t="s">
        <v>432</v>
      </c>
      <c r="B175" s="15">
        <v>0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</row>
    <row r="176" spans="1:14" x14ac:dyDescent="0.25">
      <c r="A176" s="10" t="s">
        <v>434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</row>
    <row r="177" spans="1:14" x14ac:dyDescent="0.25">
      <c r="A177" s="10" t="s">
        <v>436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  <c r="N177" s="15">
        <v>0</v>
      </c>
    </row>
    <row r="178" spans="1:14" x14ac:dyDescent="0.25">
      <c r="A178" s="10" t="s">
        <v>438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</row>
    <row r="179" spans="1:14" x14ac:dyDescent="0.25">
      <c r="A179" s="10" t="s">
        <v>440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  <c r="N179" s="15">
        <v>0</v>
      </c>
    </row>
    <row r="180" spans="1:14" x14ac:dyDescent="0.25">
      <c r="A180" s="10" t="s">
        <v>442</v>
      </c>
      <c r="B180" s="15">
        <v>0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</row>
    <row r="181" spans="1:14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  <c r="N181" s="15">
        <v>0</v>
      </c>
    </row>
    <row r="182" spans="1:14" x14ac:dyDescent="0.25">
      <c r="A182" s="10" t="s">
        <v>446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</row>
    <row r="183" spans="1:14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  <c r="N183" s="15">
        <v>0</v>
      </c>
    </row>
    <row r="184" spans="1:14" x14ac:dyDescent="0.25">
      <c r="A184" s="10" t="s">
        <v>450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</row>
    <row r="185" spans="1:14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</row>
    <row r="186" spans="1:14" x14ac:dyDescent="0.25">
      <c r="A186" s="10" t="s">
        <v>454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</row>
    <row r="187" spans="1:14" x14ac:dyDescent="0.25">
      <c r="A187" s="10" t="s">
        <v>456</v>
      </c>
      <c r="B187" s="15">
        <v>0</v>
      </c>
      <c r="C187" s="15">
        <v>0</v>
      </c>
      <c r="D187" s="15">
        <v>0</v>
      </c>
      <c r="E187" s="15">
        <v>0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  <c r="N187" s="15">
        <v>0</v>
      </c>
    </row>
    <row r="188" spans="1:14" x14ac:dyDescent="0.25">
      <c r="A188" s="10" t="s">
        <v>458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</row>
    <row r="189" spans="1:14" x14ac:dyDescent="0.25">
      <c r="A189" s="10" t="s">
        <v>460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  <c r="N189" s="15">
        <v>0</v>
      </c>
    </row>
    <row r="190" spans="1:14" x14ac:dyDescent="0.25">
      <c r="A190" s="10" t="s">
        <v>462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</row>
    <row r="191" spans="1:14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  <c r="N191" s="15">
        <v>0</v>
      </c>
    </row>
    <row r="192" spans="1:14" x14ac:dyDescent="0.25">
      <c r="A192" s="10" t="s">
        <v>466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</row>
    <row r="193" spans="1:14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>
        <v>0</v>
      </c>
    </row>
    <row r="194" spans="1:14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</row>
    <row r="195" spans="1:14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  <c r="N195" s="15">
        <v>0</v>
      </c>
    </row>
    <row r="196" spans="1:14" x14ac:dyDescent="0.25">
      <c r="A196" s="10" t="s">
        <v>474</v>
      </c>
      <c r="B196" s="15">
        <v>0</v>
      </c>
      <c r="C196" s="15">
        <v>0</v>
      </c>
      <c r="D196" s="15">
        <v>0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</row>
    <row r="197" spans="1:14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0</v>
      </c>
      <c r="N197" s="15">
        <v>0</v>
      </c>
    </row>
    <row r="198" spans="1:14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</row>
    <row r="199" spans="1:14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  <c r="N199" s="15">
        <v>0</v>
      </c>
    </row>
    <row r="200" spans="1:14" x14ac:dyDescent="0.25">
      <c r="A200" s="10" t="s">
        <v>482</v>
      </c>
      <c r="B200" s="15">
        <v>0</v>
      </c>
      <c r="C200" s="15">
        <v>0</v>
      </c>
      <c r="D200" s="15">
        <v>0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</row>
    <row r="201" spans="1:14" x14ac:dyDescent="0.25">
      <c r="A201" s="10" t="s">
        <v>484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  <c r="N201" s="15">
        <v>0</v>
      </c>
    </row>
    <row r="202" spans="1:14" x14ac:dyDescent="0.25">
      <c r="A202" s="10" t="s">
        <v>486</v>
      </c>
      <c r="B202" s="15">
        <v>0</v>
      </c>
      <c r="C202" s="15">
        <v>0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</row>
    <row r="203" spans="1:14" x14ac:dyDescent="0.25">
      <c r="A203" s="10" t="s">
        <v>488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0</v>
      </c>
    </row>
    <row r="204" spans="1:14" x14ac:dyDescent="0.25">
      <c r="A204" s="10" t="s">
        <v>490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</row>
    <row r="205" spans="1:14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  <c r="N205" s="15">
        <v>0</v>
      </c>
    </row>
    <row r="206" spans="1:14" x14ac:dyDescent="0.25">
      <c r="A206" s="10" t="s">
        <v>494</v>
      </c>
      <c r="B206" s="15">
        <v>0</v>
      </c>
      <c r="C206" s="15">
        <v>0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</row>
    <row r="207" spans="1:14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  <c r="N207" s="15">
        <v>0</v>
      </c>
    </row>
    <row r="208" spans="1:14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</row>
    <row r="209" spans="1:14" x14ac:dyDescent="0.25">
      <c r="A209" s="10" t="s">
        <v>500</v>
      </c>
      <c r="B209" s="15">
        <v>0</v>
      </c>
      <c r="C209" s="15">
        <v>0</v>
      </c>
      <c r="D209" s="15">
        <v>0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  <c r="N209" s="15">
        <v>0</v>
      </c>
    </row>
    <row r="210" spans="1:14" x14ac:dyDescent="0.25">
      <c r="A210" s="10" t="s">
        <v>502</v>
      </c>
      <c r="B210" s="15">
        <v>0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</row>
    <row r="211" spans="1:14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0</v>
      </c>
      <c r="J211" s="15">
        <v>0</v>
      </c>
      <c r="K211" s="15">
        <v>0</v>
      </c>
      <c r="L211" s="15">
        <v>0</v>
      </c>
      <c r="M211" s="15">
        <v>0</v>
      </c>
      <c r="N211" s="15">
        <v>0</v>
      </c>
    </row>
    <row r="212" spans="1:14" x14ac:dyDescent="0.25">
      <c r="A212" s="10" t="s">
        <v>506</v>
      </c>
      <c r="B212" s="15">
        <v>0</v>
      </c>
      <c r="C212" s="15">
        <v>0</v>
      </c>
      <c r="D212" s="15">
        <v>0</v>
      </c>
      <c r="E212" s="15">
        <v>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</row>
    <row r="213" spans="1:14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  <c r="N213" s="15">
        <v>0</v>
      </c>
    </row>
    <row r="214" spans="1:14" x14ac:dyDescent="0.25">
      <c r="A214" s="10" t="s">
        <v>510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</row>
    <row r="215" spans="1:14" x14ac:dyDescent="0.25">
      <c r="A215" s="10" t="s">
        <v>512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5"/>
  <dimension ref="A1:N215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</row>
    <row r="5" spans="1:14" x14ac:dyDescent="0.25">
      <c r="A5" s="10" t="s">
        <v>92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</row>
    <row r="6" spans="1:14" x14ac:dyDescent="0.25">
      <c r="A6" s="10" t="s">
        <v>94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</row>
    <row r="7" spans="1:14" x14ac:dyDescent="0.25">
      <c r="A7" s="10" t="s">
        <v>96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</row>
    <row r="8" spans="1:14" x14ac:dyDescent="0.25">
      <c r="A8" s="10" t="s">
        <v>98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</row>
    <row r="9" spans="1:14" x14ac:dyDescent="0.25">
      <c r="A9" s="10" t="s">
        <v>100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10" t="s">
        <v>110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10" t="s">
        <v>112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</row>
    <row r="16" spans="1:14" x14ac:dyDescent="0.25">
      <c r="A16" s="10" t="s">
        <v>114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</row>
    <row r="17" spans="1:14" x14ac:dyDescent="0.25">
      <c r="A17" s="10" t="s">
        <v>116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</row>
    <row r="18" spans="1:14" x14ac:dyDescent="0.25">
      <c r="A18" s="10" t="s">
        <v>118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</row>
    <row r="20" spans="1:14" x14ac:dyDescent="0.25">
      <c r="A20" s="10" t="s">
        <v>122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</row>
    <row r="21" spans="1:14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</row>
    <row r="22" spans="1:14" x14ac:dyDescent="0.25">
      <c r="A22" s="10" t="s">
        <v>126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</row>
    <row r="23" spans="1:14" x14ac:dyDescent="0.25">
      <c r="A23" s="10" t="s">
        <v>128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</row>
    <row r="24" spans="1:14" x14ac:dyDescent="0.25">
      <c r="A24" s="10" t="s">
        <v>130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</row>
    <row r="25" spans="1:14" x14ac:dyDescent="0.25">
      <c r="A25" s="10" t="s">
        <v>132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</row>
    <row r="26" spans="1:14" x14ac:dyDescent="0.25">
      <c r="A26" s="10" t="s">
        <v>134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</row>
    <row r="27" spans="1:14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</row>
    <row r="28" spans="1:14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</row>
    <row r="29" spans="1:14" x14ac:dyDescent="0.25">
      <c r="A29" s="10" t="s">
        <v>140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</row>
    <row r="30" spans="1:14" x14ac:dyDescent="0.25">
      <c r="A30" s="10" t="s">
        <v>142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</row>
    <row r="31" spans="1:14" x14ac:dyDescent="0.25">
      <c r="A31" s="10" t="s">
        <v>144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</row>
    <row r="32" spans="1:14" x14ac:dyDescent="0.25">
      <c r="A32" s="10" t="s">
        <v>146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</row>
    <row r="33" spans="1:14" x14ac:dyDescent="0.25">
      <c r="A33" s="10" t="s">
        <v>148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</row>
    <row r="34" spans="1:14" x14ac:dyDescent="0.25">
      <c r="A34" s="10" t="s">
        <v>150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</row>
    <row r="35" spans="1:14" x14ac:dyDescent="0.25">
      <c r="A35" s="10" t="s">
        <v>152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</row>
    <row r="36" spans="1:14" x14ac:dyDescent="0.25">
      <c r="A36" s="10" t="s">
        <v>154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</row>
    <row r="37" spans="1:14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</row>
    <row r="38" spans="1:14" x14ac:dyDescent="0.25">
      <c r="A38" s="10" t="s">
        <v>158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</row>
    <row r="39" spans="1:14" x14ac:dyDescent="0.25">
      <c r="A39" s="10" t="s">
        <v>160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</row>
    <row r="40" spans="1:14" x14ac:dyDescent="0.25">
      <c r="A40" s="10" t="s">
        <v>162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</row>
    <row r="41" spans="1:14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</row>
    <row r="42" spans="1:14" x14ac:dyDescent="0.25">
      <c r="A42" s="10" t="s">
        <v>166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</row>
    <row r="43" spans="1:14" x14ac:dyDescent="0.25">
      <c r="A43" s="10" t="s">
        <v>168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</row>
    <row r="44" spans="1:14" x14ac:dyDescent="0.25">
      <c r="A44" s="10" t="s">
        <v>170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</row>
    <row r="45" spans="1:14" x14ac:dyDescent="0.25">
      <c r="A45" s="10" t="s">
        <v>172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</row>
    <row r="46" spans="1:14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</row>
    <row r="47" spans="1:14" x14ac:dyDescent="0.25">
      <c r="A47" s="10" t="s">
        <v>176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</row>
    <row r="48" spans="1:14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</row>
    <row r="49" spans="1:14" x14ac:dyDescent="0.25">
      <c r="A49" s="10" t="s">
        <v>180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</row>
    <row r="50" spans="1:14" x14ac:dyDescent="0.25">
      <c r="A50" s="10" t="s">
        <v>182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</row>
    <row r="51" spans="1:14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</row>
    <row r="52" spans="1:14" x14ac:dyDescent="0.25">
      <c r="A52" s="10" t="s">
        <v>186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</row>
    <row r="53" spans="1:14" x14ac:dyDescent="0.25">
      <c r="A53" s="10" t="s">
        <v>188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</row>
    <row r="54" spans="1:14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</row>
    <row r="55" spans="1:14" x14ac:dyDescent="0.25">
      <c r="A55" s="10" t="s">
        <v>192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</row>
    <row r="56" spans="1:14" x14ac:dyDescent="0.25">
      <c r="A56" s="10" t="s">
        <v>194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</row>
    <row r="57" spans="1:14" x14ac:dyDescent="0.25">
      <c r="A57" s="10" t="s">
        <v>196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</row>
    <row r="58" spans="1:14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</row>
    <row r="59" spans="1:14" x14ac:dyDescent="0.25">
      <c r="A59" s="10" t="s">
        <v>200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</row>
    <row r="60" spans="1:14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</row>
    <row r="61" spans="1:14" x14ac:dyDescent="0.25">
      <c r="A61" s="10" t="s">
        <v>204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</row>
    <row r="62" spans="1:14" x14ac:dyDescent="0.25">
      <c r="A62" s="10" t="s">
        <v>206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</row>
    <row r="63" spans="1:14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5">
      <c r="A65" s="10" t="s">
        <v>212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5">
      <c r="A66" s="10" t="s">
        <v>214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5">
      <c r="A67" s="10" t="s">
        <v>216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5">
      <c r="A70" s="10" t="s">
        <v>222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5">
      <c r="A72" s="10" t="s">
        <v>226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</row>
    <row r="75" spans="1:14" x14ac:dyDescent="0.25">
      <c r="A75" s="10" t="s">
        <v>232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>
        <v>0</v>
      </c>
    </row>
    <row r="76" spans="1:14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5">
      <c r="A77" s="10" t="s">
        <v>236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</row>
    <row r="78" spans="1:14" x14ac:dyDescent="0.25">
      <c r="A78" s="10" t="s">
        <v>238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</row>
    <row r="79" spans="1:14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</row>
    <row r="80" spans="1:14" x14ac:dyDescent="0.25">
      <c r="A80" s="10" t="s">
        <v>242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</row>
    <row r="81" spans="1:14" x14ac:dyDescent="0.25">
      <c r="A81" s="10" t="s">
        <v>244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</row>
    <row r="82" spans="1:14" x14ac:dyDescent="0.25">
      <c r="A82" s="10" t="s">
        <v>246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</row>
    <row r="83" spans="1:14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>
        <v>0</v>
      </c>
    </row>
    <row r="84" spans="1:14" x14ac:dyDescent="0.25">
      <c r="A84" s="10" t="s">
        <v>250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</row>
    <row r="85" spans="1:14" x14ac:dyDescent="0.25">
      <c r="A85" s="10" t="s">
        <v>252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</row>
    <row r="86" spans="1:14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5">
      <c r="A87" s="10" t="s">
        <v>256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  <c r="N87" s="15">
        <v>0</v>
      </c>
    </row>
    <row r="88" spans="1:14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</row>
    <row r="89" spans="1:14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>
        <v>0</v>
      </c>
    </row>
    <row r="90" spans="1:14" x14ac:dyDescent="0.25">
      <c r="A90" s="10" t="s">
        <v>262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</row>
    <row r="91" spans="1:14" x14ac:dyDescent="0.25">
      <c r="A91" s="10" t="s">
        <v>264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  <c r="N91" s="15">
        <v>0</v>
      </c>
    </row>
    <row r="92" spans="1:14" x14ac:dyDescent="0.25">
      <c r="A92" s="10" t="s">
        <v>266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</row>
    <row r="93" spans="1:14" x14ac:dyDescent="0.25">
      <c r="A93" s="10" t="s">
        <v>268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</row>
    <row r="94" spans="1:14" x14ac:dyDescent="0.25">
      <c r="A94" s="10" t="s">
        <v>270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</row>
    <row r="95" spans="1:14" x14ac:dyDescent="0.25">
      <c r="A95" s="10" t="s">
        <v>272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0</v>
      </c>
    </row>
    <row r="96" spans="1:14" x14ac:dyDescent="0.25">
      <c r="A96" s="10" t="s">
        <v>274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</row>
    <row r="97" spans="1:14" x14ac:dyDescent="0.25">
      <c r="A97" s="10" t="s">
        <v>276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</row>
    <row r="98" spans="1:14" x14ac:dyDescent="0.25">
      <c r="A98" s="10" t="s">
        <v>278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</row>
    <row r="99" spans="1:14" x14ac:dyDescent="0.25">
      <c r="A99" s="10" t="s">
        <v>280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>
        <v>0</v>
      </c>
    </row>
    <row r="100" spans="1:14" x14ac:dyDescent="0.25">
      <c r="A100" s="10" t="s">
        <v>282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</row>
    <row r="101" spans="1:14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</row>
    <row r="102" spans="1:14" x14ac:dyDescent="0.25">
      <c r="A102" s="10" t="s">
        <v>286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</row>
    <row r="103" spans="1:14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</row>
    <row r="104" spans="1:14" x14ac:dyDescent="0.25">
      <c r="A104" s="10" t="s">
        <v>290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</row>
    <row r="105" spans="1:14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</row>
    <row r="106" spans="1:14" x14ac:dyDescent="0.25">
      <c r="A106" s="10" t="s">
        <v>294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</row>
    <row r="107" spans="1:14" x14ac:dyDescent="0.25">
      <c r="A107" s="10" t="s">
        <v>296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</row>
    <row r="108" spans="1:14" x14ac:dyDescent="0.25">
      <c r="A108" s="10" t="s">
        <v>298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</row>
    <row r="109" spans="1:14" x14ac:dyDescent="0.25">
      <c r="A109" s="10" t="s">
        <v>300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</row>
    <row r="110" spans="1:14" x14ac:dyDescent="0.25">
      <c r="A110" s="10" t="s">
        <v>302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</row>
    <row r="111" spans="1:14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</row>
    <row r="112" spans="1:14" x14ac:dyDescent="0.25">
      <c r="A112" s="10" t="s">
        <v>306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</row>
    <row r="113" spans="1:14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</row>
    <row r="114" spans="1:14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</row>
    <row r="115" spans="1:14" x14ac:dyDescent="0.25">
      <c r="A115" s="10" t="s">
        <v>312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</row>
    <row r="116" spans="1:14" x14ac:dyDescent="0.25">
      <c r="A116" s="10" t="s">
        <v>314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</row>
    <row r="117" spans="1:14" x14ac:dyDescent="0.25">
      <c r="A117" s="10" t="s">
        <v>316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</row>
    <row r="118" spans="1:14" x14ac:dyDescent="0.25">
      <c r="A118" s="10" t="s">
        <v>318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</row>
    <row r="119" spans="1:14" x14ac:dyDescent="0.25">
      <c r="A119" s="10" t="s">
        <v>320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</row>
    <row r="120" spans="1:14" x14ac:dyDescent="0.25">
      <c r="A120" s="10" t="s">
        <v>322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</row>
    <row r="121" spans="1:14" x14ac:dyDescent="0.25">
      <c r="A121" s="10" t="s">
        <v>324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>
        <v>0</v>
      </c>
    </row>
    <row r="122" spans="1:14" x14ac:dyDescent="0.25">
      <c r="A122" s="10" t="s">
        <v>326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</row>
    <row r="123" spans="1:14" x14ac:dyDescent="0.25">
      <c r="A123" s="10" t="s">
        <v>328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</row>
    <row r="124" spans="1:14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</row>
    <row r="125" spans="1:14" x14ac:dyDescent="0.25">
      <c r="A125" s="10" t="s">
        <v>332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5">
      <c r="A126" s="10" t="s">
        <v>334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</row>
    <row r="127" spans="1:14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</row>
    <row r="128" spans="1:14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</row>
    <row r="129" spans="1:14" x14ac:dyDescent="0.25">
      <c r="A129" s="10" t="s">
        <v>340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</row>
    <row r="130" spans="1:14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</row>
    <row r="131" spans="1:14" x14ac:dyDescent="0.25">
      <c r="A131" s="10" t="s">
        <v>344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</row>
    <row r="132" spans="1:14" x14ac:dyDescent="0.25">
      <c r="A132" s="10" t="s">
        <v>346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</row>
    <row r="133" spans="1:14" x14ac:dyDescent="0.25">
      <c r="A133" s="10" t="s">
        <v>348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  <c r="N133" s="15">
        <v>0</v>
      </c>
    </row>
    <row r="134" spans="1:14" x14ac:dyDescent="0.25">
      <c r="A134" s="10" t="s">
        <v>350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</row>
    <row r="135" spans="1:14" x14ac:dyDescent="0.25">
      <c r="A135" s="10" t="s">
        <v>352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5">
        <v>0</v>
      </c>
    </row>
    <row r="136" spans="1:14" x14ac:dyDescent="0.25">
      <c r="A136" s="10" t="s">
        <v>354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</row>
    <row r="137" spans="1:14" x14ac:dyDescent="0.25">
      <c r="A137" s="10" t="s">
        <v>356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  <c r="N137" s="15">
        <v>0</v>
      </c>
    </row>
    <row r="138" spans="1:14" x14ac:dyDescent="0.25">
      <c r="A138" s="10" t="s">
        <v>358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</row>
    <row r="139" spans="1:14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>
        <v>0</v>
      </c>
    </row>
    <row r="140" spans="1:14" x14ac:dyDescent="0.25">
      <c r="A140" s="10" t="s">
        <v>362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</row>
    <row r="141" spans="1:14" x14ac:dyDescent="0.25">
      <c r="A141" s="10" t="s">
        <v>364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>
        <v>0</v>
      </c>
    </row>
    <row r="142" spans="1:14" x14ac:dyDescent="0.25">
      <c r="A142" s="10" t="s">
        <v>366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</row>
    <row r="143" spans="1:14" x14ac:dyDescent="0.25">
      <c r="A143" s="10" t="s">
        <v>368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</row>
    <row r="144" spans="1:14" x14ac:dyDescent="0.25">
      <c r="A144" s="10" t="s">
        <v>370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</row>
    <row r="145" spans="1:14" x14ac:dyDescent="0.25">
      <c r="A145" s="10" t="s">
        <v>372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>
        <v>0</v>
      </c>
    </row>
    <row r="146" spans="1:14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</row>
    <row r="147" spans="1:14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  <c r="N147" s="15">
        <v>0</v>
      </c>
    </row>
    <row r="148" spans="1:14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</row>
    <row r="149" spans="1:14" x14ac:dyDescent="0.25">
      <c r="A149" s="10" t="s">
        <v>380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</row>
    <row r="150" spans="1:14" x14ac:dyDescent="0.25">
      <c r="A150" s="10" t="s">
        <v>382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</row>
    <row r="151" spans="1:14" x14ac:dyDescent="0.25">
      <c r="A151" s="10" t="s">
        <v>384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</row>
    <row r="152" spans="1:14" x14ac:dyDescent="0.25">
      <c r="A152" s="10" t="s">
        <v>386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</row>
    <row r="153" spans="1:14" x14ac:dyDescent="0.25">
      <c r="A153" s="10" t="s">
        <v>388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  <c r="N153" s="15">
        <v>0</v>
      </c>
    </row>
    <row r="154" spans="1:14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</row>
    <row r="155" spans="1:14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  <c r="N155" s="15">
        <v>0</v>
      </c>
    </row>
    <row r="156" spans="1:14" x14ac:dyDescent="0.25">
      <c r="A156" s="10" t="s">
        <v>394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</row>
    <row r="157" spans="1:14" x14ac:dyDescent="0.25">
      <c r="A157" s="10" t="s">
        <v>396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  <c r="N157" s="15">
        <v>0</v>
      </c>
    </row>
    <row r="158" spans="1:14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</row>
    <row r="159" spans="1:14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</row>
    <row r="160" spans="1:14" x14ac:dyDescent="0.25">
      <c r="A160" s="10" t="s">
        <v>402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</row>
    <row r="161" spans="1:14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</row>
    <row r="162" spans="1:14" x14ac:dyDescent="0.25">
      <c r="A162" s="10" t="s">
        <v>406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</row>
    <row r="163" spans="1:14" x14ac:dyDescent="0.25">
      <c r="A163" s="10" t="s">
        <v>408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</row>
    <row r="164" spans="1:14" x14ac:dyDescent="0.25">
      <c r="A164" s="10" t="s">
        <v>410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</row>
    <row r="165" spans="1:14" x14ac:dyDescent="0.25">
      <c r="A165" s="10" t="s">
        <v>412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  <c r="N165" s="15">
        <v>0</v>
      </c>
    </row>
    <row r="166" spans="1:14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</row>
    <row r="167" spans="1:14" x14ac:dyDescent="0.25">
      <c r="A167" s="10" t="s">
        <v>416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>
        <v>0</v>
      </c>
    </row>
    <row r="168" spans="1:14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</row>
    <row r="169" spans="1:14" x14ac:dyDescent="0.25">
      <c r="A169" s="10" t="s">
        <v>420</v>
      </c>
      <c r="B169" s="15">
        <v>0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  <c r="N169" s="15">
        <v>0</v>
      </c>
    </row>
    <row r="170" spans="1:14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</row>
    <row r="171" spans="1:14" x14ac:dyDescent="0.25">
      <c r="A171" s="10" t="s">
        <v>424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>
        <v>0</v>
      </c>
    </row>
    <row r="172" spans="1:14" x14ac:dyDescent="0.25">
      <c r="A172" s="10" t="s">
        <v>426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</row>
    <row r="173" spans="1:14" x14ac:dyDescent="0.25">
      <c r="A173" s="10" t="s">
        <v>428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  <c r="N173" s="15">
        <v>0</v>
      </c>
    </row>
    <row r="174" spans="1:14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</row>
    <row r="175" spans="1:14" x14ac:dyDescent="0.25">
      <c r="A175" s="10" t="s">
        <v>432</v>
      </c>
      <c r="B175" s="15">
        <v>0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</row>
    <row r="176" spans="1:14" x14ac:dyDescent="0.25">
      <c r="A176" s="10" t="s">
        <v>434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</row>
    <row r="177" spans="1:14" x14ac:dyDescent="0.25">
      <c r="A177" s="10" t="s">
        <v>436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  <c r="N177" s="15">
        <v>0</v>
      </c>
    </row>
    <row r="178" spans="1:14" x14ac:dyDescent="0.25">
      <c r="A178" s="10" t="s">
        <v>438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</row>
    <row r="179" spans="1:14" x14ac:dyDescent="0.25">
      <c r="A179" s="10" t="s">
        <v>440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  <c r="N179" s="15">
        <v>0</v>
      </c>
    </row>
    <row r="180" spans="1:14" x14ac:dyDescent="0.25">
      <c r="A180" s="10" t="s">
        <v>442</v>
      </c>
      <c r="B180" s="15">
        <v>0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</row>
    <row r="181" spans="1:14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  <c r="N181" s="15">
        <v>0</v>
      </c>
    </row>
    <row r="182" spans="1:14" x14ac:dyDescent="0.25">
      <c r="A182" s="10" t="s">
        <v>446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</row>
    <row r="183" spans="1:14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  <c r="N183" s="15">
        <v>0</v>
      </c>
    </row>
    <row r="184" spans="1:14" x14ac:dyDescent="0.25">
      <c r="A184" s="10" t="s">
        <v>450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</row>
    <row r="185" spans="1:14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</row>
    <row r="186" spans="1:14" x14ac:dyDescent="0.25">
      <c r="A186" s="10" t="s">
        <v>454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</row>
    <row r="187" spans="1:14" x14ac:dyDescent="0.25">
      <c r="A187" s="10" t="s">
        <v>456</v>
      </c>
      <c r="B187" s="15">
        <v>0</v>
      </c>
      <c r="C187" s="15">
        <v>0</v>
      </c>
      <c r="D187" s="15">
        <v>0</v>
      </c>
      <c r="E187" s="15">
        <v>0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  <c r="N187" s="15">
        <v>0</v>
      </c>
    </row>
    <row r="188" spans="1:14" x14ac:dyDescent="0.25">
      <c r="A188" s="10" t="s">
        <v>458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</row>
    <row r="189" spans="1:14" x14ac:dyDescent="0.25">
      <c r="A189" s="10" t="s">
        <v>460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  <c r="N189" s="15">
        <v>0</v>
      </c>
    </row>
    <row r="190" spans="1:14" x14ac:dyDescent="0.25">
      <c r="A190" s="10" t="s">
        <v>462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</row>
    <row r="191" spans="1:14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  <c r="N191" s="15">
        <v>0</v>
      </c>
    </row>
    <row r="192" spans="1:14" x14ac:dyDescent="0.25">
      <c r="A192" s="10" t="s">
        <v>466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</row>
    <row r="193" spans="1:14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>
        <v>0</v>
      </c>
    </row>
    <row r="194" spans="1:14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</row>
    <row r="195" spans="1:14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  <c r="N195" s="15">
        <v>0</v>
      </c>
    </row>
    <row r="196" spans="1:14" x14ac:dyDescent="0.25">
      <c r="A196" s="10" t="s">
        <v>474</v>
      </c>
      <c r="B196" s="15">
        <v>0</v>
      </c>
      <c r="C196" s="15">
        <v>0</v>
      </c>
      <c r="D196" s="15">
        <v>0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</row>
    <row r="197" spans="1:14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0</v>
      </c>
      <c r="N197" s="15">
        <v>0</v>
      </c>
    </row>
    <row r="198" spans="1:14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</row>
    <row r="199" spans="1:14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  <c r="N199" s="15">
        <v>0</v>
      </c>
    </row>
    <row r="200" spans="1:14" x14ac:dyDescent="0.25">
      <c r="A200" s="10" t="s">
        <v>482</v>
      </c>
      <c r="B200" s="15">
        <v>0</v>
      </c>
      <c r="C200" s="15">
        <v>0</v>
      </c>
      <c r="D200" s="15">
        <v>0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</row>
    <row r="201" spans="1:14" x14ac:dyDescent="0.25">
      <c r="A201" s="10" t="s">
        <v>484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  <c r="N201" s="15">
        <v>0</v>
      </c>
    </row>
    <row r="202" spans="1:14" x14ac:dyDescent="0.25">
      <c r="A202" s="10" t="s">
        <v>486</v>
      </c>
      <c r="B202" s="15">
        <v>0</v>
      </c>
      <c r="C202" s="15">
        <v>0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</row>
    <row r="203" spans="1:14" x14ac:dyDescent="0.25">
      <c r="A203" s="10" t="s">
        <v>488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0</v>
      </c>
    </row>
    <row r="204" spans="1:14" x14ac:dyDescent="0.25">
      <c r="A204" s="10" t="s">
        <v>490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</row>
    <row r="205" spans="1:14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  <c r="N205" s="15">
        <v>0</v>
      </c>
    </row>
    <row r="206" spans="1:14" x14ac:dyDescent="0.25">
      <c r="A206" s="10" t="s">
        <v>494</v>
      </c>
      <c r="B206" s="15">
        <v>0</v>
      </c>
      <c r="C206" s="15">
        <v>0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</row>
    <row r="207" spans="1:14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  <c r="N207" s="15">
        <v>0</v>
      </c>
    </row>
    <row r="208" spans="1:14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</row>
    <row r="209" spans="1:14" x14ac:dyDescent="0.25">
      <c r="A209" s="10" t="s">
        <v>500</v>
      </c>
      <c r="B209" s="15">
        <v>0</v>
      </c>
      <c r="C209" s="15">
        <v>0</v>
      </c>
      <c r="D209" s="15">
        <v>0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  <c r="N209" s="15">
        <v>0</v>
      </c>
    </row>
    <row r="210" spans="1:14" x14ac:dyDescent="0.25">
      <c r="A210" s="10" t="s">
        <v>502</v>
      </c>
      <c r="B210" s="15">
        <v>0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</row>
    <row r="211" spans="1:14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0</v>
      </c>
      <c r="J211" s="15">
        <v>0</v>
      </c>
      <c r="K211" s="15">
        <v>0</v>
      </c>
      <c r="L211" s="15">
        <v>0</v>
      </c>
      <c r="M211" s="15">
        <v>0</v>
      </c>
      <c r="N211" s="15">
        <v>0</v>
      </c>
    </row>
    <row r="212" spans="1:14" x14ac:dyDescent="0.25">
      <c r="A212" s="10" t="s">
        <v>506</v>
      </c>
      <c r="B212" s="15">
        <v>0</v>
      </c>
      <c r="C212" s="15">
        <v>0</v>
      </c>
      <c r="D212" s="15">
        <v>0</v>
      </c>
      <c r="E212" s="15">
        <v>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</row>
    <row r="213" spans="1:14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  <c r="N213" s="15">
        <v>0</v>
      </c>
    </row>
    <row r="214" spans="1:14" x14ac:dyDescent="0.25">
      <c r="A214" s="10" t="s">
        <v>510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</row>
    <row r="215" spans="1:14" x14ac:dyDescent="0.25">
      <c r="A215" s="10" t="s">
        <v>512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4"/>
  <dimension ref="A1:N215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</row>
    <row r="5" spans="1:14" x14ac:dyDescent="0.25">
      <c r="A5" s="10" t="s">
        <v>92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</row>
    <row r="6" spans="1:14" x14ac:dyDescent="0.25">
      <c r="A6" s="10" t="s">
        <v>94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</row>
    <row r="7" spans="1:14" x14ac:dyDescent="0.25">
      <c r="A7" s="10" t="s">
        <v>96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</row>
    <row r="8" spans="1:14" x14ac:dyDescent="0.25">
      <c r="A8" s="10" t="s">
        <v>98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</row>
    <row r="9" spans="1:14" x14ac:dyDescent="0.25">
      <c r="A9" s="10" t="s">
        <v>100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10" t="s">
        <v>110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10" t="s">
        <v>112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</row>
    <row r="16" spans="1:14" x14ac:dyDescent="0.25">
      <c r="A16" s="10" t="s">
        <v>114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</row>
    <row r="17" spans="1:14" x14ac:dyDescent="0.25">
      <c r="A17" s="10" t="s">
        <v>116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</row>
    <row r="18" spans="1:14" x14ac:dyDescent="0.25">
      <c r="A18" s="10" t="s">
        <v>118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</row>
    <row r="20" spans="1:14" x14ac:dyDescent="0.25">
      <c r="A20" s="10" t="s">
        <v>122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</row>
    <row r="21" spans="1:14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</row>
    <row r="22" spans="1:14" x14ac:dyDescent="0.25">
      <c r="A22" s="10" t="s">
        <v>126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</row>
    <row r="23" spans="1:14" x14ac:dyDescent="0.25">
      <c r="A23" s="10" t="s">
        <v>128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</row>
    <row r="24" spans="1:14" x14ac:dyDescent="0.25">
      <c r="A24" s="10" t="s">
        <v>130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</row>
    <row r="25" spans="1:14" x14ac:dyDescent="0.25">
      <c r="A25" s="10" t="s">
        <v>132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</row>
    <row r="26" spans="1:14" x14ac:dyDescent="0.25">
      <c r="A26" s="10" t="s">
        <v>134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</row>
    <row r="27" spans="1:14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</row>
    <row r="28" spans="1:14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</row>
    <row r="29" spans="1:14" x14ac:dyDescent="0.25">
      <c r="A29" s="10" t="s">
        <v>140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</row>
    <row r="30" spans="1:14" x14ac:dyDescent="0.25">
      <c r="A30" s="10" t="s">
        <v>142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</row>
    <row r="31" spans="1:14" x14ac:dyDescent="0.25">
      <c r="A31" s="10" t="s">
        <v>144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</row>
    <row r="32" spans="1:14" x14ac:dyDescent="0.25">
      <c r="A32" s="10" t="s">
        <v>146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</row>
    <row r="33" spans="1:14" x14ac:dyDescent="0.25">
      <c r="A33" s="10" t="s">
        <v>148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</row>
    <row r="34" spans="1:14" x14ac:dyDescent="0.25">
      <c r="A34" s="10" t="s">
        <v>150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</row>
    <row r="35" spans="1:14" x14ac:dyDescent="0.25">
      <c r="A35" s="10" t="s">
        <v>152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</row>
    <row r="36" spans="1:14" x14ac:dyDescent="0.25">
      <c r="A36" s="10" t="s">
        <v>154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</row>
    <row r="37" spans="1:14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</row>
    <row r="38" spans="1:14" x14ac:dyDescent="0.25">
      <c r="A38" s="10" t="s">
        <v>158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</row>
    <row r="39" spans="1:14" x14ac:dyDescent="0.25">
      <c r="A39" s="10" t="s">
        <v>160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</row>
    <row r="40" spans="1:14" x14ac:dyDescent="0.25">
      <c r="A40" s="10" t="s">
        <v>162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</row>
    <row r="41" spans="1:14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</row>
    <row r="42" spans="1:14" x14ac:dyDescent="0.25">
      <c r="A42" s="10" t="s">
        <v>166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</row>
    <row r="43" spans="1:14" x14ac:dyDescent="0.25">
      <c r="A43" s="10" t="s">
        <v>168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</row>
    <row r="44" spans="1:14" x14ac:dyDescent="0.25">
      <c r="A44" s="10" t="s">
        <v>170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</row>
    <row r="45" spans="1:14" x14ac:dyDescent="0.25">
      <c r="A45" s="10" t="s">
        <v>172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</row>
    <row r="46" spans="1:14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</row>
    <row r="47" spans="1:14" x14ac:dyDescent="0.25">
      <c r="A47" s="10" t="s">
        <v>176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</row>
    <row r="48" spans="1:14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</row>
    <row r="49" spans="1:14" x14ac:dyDescent="0.25">
      <c r="A49" s="10" t="s">
        <v>180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</row>
    <row r="50" spans="1:14" x14ac:dyDescent="0.25">
      <c r="A50" s="10" t="s">
        <v>182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</row>
    <row r="51" spans="1:14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</row>
    <row r="52" spans="1:14" x14ac:dyDescent="0.25">
      <c r="A52" s="10" t="s">
        <v>186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</row>
    <row r="53" spans="1:14" x14ac:dyDescent="0.25">
      <c r="A53" s="10" t="s">
        <v>188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</row>
    <row r="54" spans="1:14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</row>
    <row r="55" spans="1:14" x14ac:dyDescent="0.25">
      <c r="A55" s="10" t="s">
        <v>192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</row>
    <row r="56" spans="1:14" x14ac:dyDescent="0.25">
      <c r="A56" s="10" t="s">
        <v>194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</row>
    <row r="57" spans="1:14" x14ac:dyDescent="0.25">
      <c r="A57" s="10" t="s">
        <v>196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</row>
    <row r="58" spans="1:14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</row>
    <row r="59" spans="1:14" x14ac:dyDescent="0.25">
      <c r="A59" s="10" t="s">
        <v>200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</row>
    <row r="60" spans="1:14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</row>
    <row r="61" spans="1:14" x14ac:dyDescent="0.25">
      <c r="A61" s="10" t="s">
        <v>204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</row>
    <row r="62" spans="1:14" x14ac:dyDescent="0.25">
      <c r="A62" s="10" t="s">
        <v>206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</row>
    <row r="63" spans="1:14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5">
      <c r="A65" s="10" t="s">
        <v>212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5">
      <c r="A66" s="10" t="s">
        <v>214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5">
      <c r="A67" s="10" t="s">
        <v>216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5">
      <c r="A70" s="10" t="s">
        <v>222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5">
      <c r="A72" s="10" t="s">
        <v>226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</row>
    <row r="75" spans="1:14" x14ac:dyDescent="0.25">
      <c r="A75" s="10" t="s">
        <v>232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>
        <v>0</v>
      </c>
    </row>
    <row r="76" spans="1:14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5">
      <c r="A77" s="10" t="s">
        <v>236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</row>
    <row r="78" spans="1:14" x14ac:dyDescent="0.25">
      <c r="A78" s="10" t="s">
        <v>238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</row>
    <row r="79" spans="1:14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</row>
    <row r="80" spans="1:14" x14ac:dyDescent="0.25">
      <c r="A80" s="10" t="s">
        <v>242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</row>
    <row r="81" spans="1:14" x14ac:dyDescent="0.25">
      <c r="A81" s="10" t="s">
        <v>244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</row>
    <row r="82" spans="1:14" x14ac:dyDescent="0.25">
      <c r="A82" s="10" t="s">
        <v>246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</row>
    <row r="83" spans="1:14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>
        <v>0</v>
      </c>
    </row>
    <row r="84" spans="1:14" x14ac:dyDescent="0.25">
      <c r="A84" s="10" t="s">
        <v>250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</row>
    <row r="85" spans="1:14" x14ac:dyDescent="0.25">
      <c r="A85" s="10" t="s">
        <v>252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</row>
    <row r="86" spans="1:14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5">
      <c r="A87" s="10" t="s">
        <v>256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  <c r="N87" s="15">
        <v>0</v>
      </c>
    </row>
    <row r="88" spans="1:14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</row>
    <row r="89" spans="1:14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>
        <v>0</v>
      </c>
    </row>
    <row r="90" spans="1:14" x14ac:dyDescent="0.25">
      <c r="A90" s="10" t="s">
        <v>262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</row>
    <row r="91" spans="1:14" x14ac:dyDescent="0.25">
      <c r="A91" s="10" t="s">
        <v>264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  <c r="N91" s="15">
        <v>0</v>
      </c>
    </row>
    <row r="92" spans="1:14" x14ac:dyDescent="0.25">
      <c r="A92" s="10" t="s">
        <v>266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</row>
    <row r="93" spans="1:14" x14ac:dyDescent="0.25">
      <c r="A93" s="10" t="s">
        <v>268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</row>
    <row r="94" spans="1:14" x14ac:dyDescent="0.25">
      <c r="A94" s="10" t="s">
        <v>270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</row>
    <row r="95" spans="1:14" x14ac:dyDescent="0.25">
      <c r="A95" s="10" t="s">
        <v>272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0</v>
      </c>
    </row>
    <row r="96" spans="1:14" x14ac:dyDescent="0.25">
      <c r="A96" s="10" t="s">
        <v>274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</row>
    <row r="97" spans="1:14" x14ac:dyDescent="0.25">
      <c r="A97" s="10" t="s">
        <v>276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</row>
    <row r="98" spans="1:14" x14ac:dyDescent="0.25">
      <c r="A98" s="10" t="s">
        <v>278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</row>
    <row r="99" spans="1:14" x14ac:dyDescent="0.25">
      <c r="A99" s="10" t="s">
        <v>280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>
        <v>0</v>
      </c>
    </row>
    <row r="100" spans="1:14" x14ac:dyDescent="0.25">
      <c r="A100" s="10" t="s">
        <v>282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</row>
    <row r="101" spans="1:14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</row>
    <row r="102" spans="1:14" x14ac:dyDescent="0.25">
      <c r="A102" s="10" t="s">
        <v>286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</row>
    <row r="103" spans="1:14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</row>
    <row r="104" spans="1:14" x14ac:dyDescent="0.25">
      <c r="A104" s="10" t="s">
        <v>290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</row>
    <row r="105" spans="1:14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</row>
    <row r="106" spans="1:14" x14ac:dyDescent="0.25">
      <c r="A106" s="10" t="s">
        <v>294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</row>
    <row r="107" spans="1:14" x14ac:dyDescent="0.25">
      <c r="A107" s="10" t="s">
        <v>296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</row>
    <row r="108" spans="1:14" x14ac:dyDescent="0.25">
      <c r="A108" s="10" t="s">
        <v>298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</row>
    <row r="109" spans="1:14" x14ac:dyDescent="0.25">
      <c r="A109" s="10" t="s">
        <v>300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</row>
    <row r="110" spans="1:14" x14ac:dyDescent="0.25">
      <c r="A110" s="10" t="s">
        <v>302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</row>
    <row r="111" spans="1:14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</row>
    <row r="112" spans="1:14" x14ac:dyDescent="0.25">
      <c r="A112" s="10" t="s">
        <v>306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</row>
    <row r="113" spans="1:14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</row>
    <row r="114" spans="1:14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</row>
    <row r="115" spans="1:14" x14ac:dyDescent="0.25">
      <c r="A115" s="10" t="s">
        <v>312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</row>
    <row r="116" spans="1:14" x14ac:dyDescent="0.25">
      <c r="A116" s="10" t="s">
        <v>314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</row>
    <row r="117" spans="1:14" x14ac:dyDescent="0.25">
      <c r="A117" s="10" t="s">
        <v>316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</row>
    <row r="118" spans="1:14" x14ac:dyDescent="0.25">
      <c r="A118" s="10" t="s">
        <v>318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</row>
    <row r="119" spans="1:14" x14ac:dyDescent="0.25">
      <c r="A119" s="10" t="s">
        <v>320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</row>
    <row r="120" spans="1:14" x14ac:dyDescent="0.25">
      <c r="A120" s="10" t="s">
        <v>322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</row>
    <row r="121" spans="1:14" x14ac:dyDescent="0.25">
      <c r="A121" s="10" t="s">
        <v>324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>
        <v>0</v>
      </c>
    </row>
    <row r="122" spans="1:14" x14ac:dyDescent="0.25">
      <c r="A122" s="10" t="s">
        <v>326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</row>
    <row r="123" spans="1:14" x14ac:dyDescent="0.25">
      <c r="A123" s="10" t="s">
        <v>328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</row>
    <row r="124" spans="1:14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</row>
    <row r="125" spans="1:14" x14ac:dyDescent="0.25">
      <c r="A125" s="10" t="s">
        <v>332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5">
      <c r="A126" s="10" t="s">
        <v>334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</row>
    <row r="127" spans="1:14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</row>
    <row r="128" spans="1:14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</row>
    <row r="129" spans="1:14" x14ac:dyDescent="0.25">
      <c r="A129" s="10" t="s">
        <v>340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</row>
    <row r="130" spans="1:14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</row>
    <row r="131" spans="1:14" x14ac:dyDescent="0.25">
      <c r="A131" s="10" t="s">
        <v>344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</row>
    <row r="132" spans="1:14" x14ac:dyDescent="0.25">
      <c r="A132" s="10" t="s">
        <v>346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</row>
    <row r="133" spans="1:14" x14ac:dyDescent="0.25">
      <c r="A133" s="10" t="s">
        <v>348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  <c r="N133" s="15">
        <v>0</v>
      </c>
    </row>
    <row r="134" spans="1:14" x14ac:dyDescent="0.25">
      <c r="A134" s="10" t="s">
        <v>350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</row>
    <row r="135" spans="1:14" x14ac:dyDescent="0.25">
      <c r="A135" s="10" t="s">
        <v>352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5">
        <v>0</v>
      </c>
    </row>
    <row r="136" spans="1:14" x14ac:dyDescent="0.25">
      <c r="A136" s="10" t="s">
        <v>354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</row>
    <row r="137" spans="1:14" x14ac:dyDescent="0.25">
      <c r="A137" s="10" t="s">
        <v>356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  <c r="N137" s="15">
        <v>0</v>
      </c>
    </row>
    <row r="138" spans="1:14" x14ac:dyDescent="0.25">
      <c r="A138" s="10" t="s">
        <v>358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</row>
    <row r="139" spans="1:14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>
        <v>0</v>
      </c>
    </row>
    <row r="140" spans="1:14" x14ac:dyDescent="0.25">
      <c r="A140" s="10" t="s">
        <v>362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</row>
    <row r="141" spans="1:14" x14ac:dyDescent="0.25">
      <c r="A141" s="10" t="s">
        <v>364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>
        <v>0</v>
      </c>
    </row>
    <row r="142" spans="1:14" x14ac:dyDescent="0.25">
      <c r="A142" s="10" t="s">
        <v>366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</row>
    <row r="143" spans="1:14" x14ac:dyDescent="0.25">
      <c r="A143" s="10" t="s">
        <v>368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</row>
    <row r="144" spans="1:14" x14ac:dyDescent="0.25">
      <c r="A144" s="10" t="s">
        <v>370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</row>
    <row r="145" spans="1:14" x14ac:dyDescent="0.25">
      <c r="A145" s="10" t="s">
        <v>372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>
        <v>0</v>
      </c>
    </row>
    <row r="146" spans="1:14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</row>
    <row r="147" spans="1:14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  <c r="N147" s="15">
        <v>0</v>
      </c>
    </row>
    <row r="148" spans="1:14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</row>
    <row r="149" spans="1:14" x14ac:dyDescent="0.25">
      <c r="A149" s="10" t="s">
        <v>380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</row>
    <row r="150" spans="1:14" x14ac:dyDescent="0.25">
      <c r="A150" s="10" t="s">
        <v>382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</row>
    <row r="151" spans="1:14" x14ac:dyDescent="0.25">
      <c r="A151" s="10" t="s">
        <v>384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</row>
    <row r="152" spans="1:14" x14ac:dyDescent="0.25">
      <c r="A152" s="10" t="s">
        <v>386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</row>
    <row r="153" spans="1:14" x14ac:dyDescent="0.25">
      <c r="A153" s="10" t="s">
        <v>388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  <c r="N153" s="15">
        <v>0</v>
      </c>
    </row>
    <row r="154" spans="1:14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</row>
    <row r="155" spans="1:14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  <c r="N155" s="15">
        <v>0</v>
      </c>
    </row>
    <row r="156" spans="1:14" x14ac:dyDescent="0.25">
      <c r="A156" s="10" t="s">
        <v>394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</row>
    <row r="157" spans="1:14" x14ac:dyDescent="0.25">
      <c r="A157" s="10" t="s">
        <v>396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  <c r="N157" s="15">
        <v>0</v>
      </c>
    </row>
    <row r="158" spans="1:14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</row>
    <row r="159" spans="1:14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</row>
    <row r="160" spans="1:14" x14ac:dyDescent="0.25">
      <c r="A160" s="10" t="s">
        <v>402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</row>
    <row r="161" spans="1:14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</row>
    <row r="162" spans="1:14" x14ac:dyDescent="0.25">
      <c r="A162" s="10" t="s">
        <v>406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</row>
    <row r="163" spans="1:14" x14ac:dyDescent="0.25">
      <c r="A163" s="10" t="s">
        <v>408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</row>
    <row r="164" spans="1:14" x14ac:dyDescent="0.25">
      <c r="A164" s="10" t="s">
        <v>410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</row>
    <row r="165" spans="1:14" x14ac:dyDescent="0.25">
      <c r="A165" s="10" t="s">
        <v>412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  <c r="N165" s="15">
        <v>0</v>
      </c>
    </row>
    <row r="166" spans="1:14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</row>
    <row r="167" spans="1:14" x14ac:dyDescent="0.25">
      <c r="A167" s="10" t="s">
        <v>416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>
        <v>0</v>
      </c>
    </row>
    <row r="168" spans="1:14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</row>
    <row r="169" spans="1:14" x14ac:dyDescent="0.25">
      <c r="A169" s="10" t="s">
        <v>420</v>
      </c>
      <c r="B169" s="15">
        <v>0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  <c r="N169" s="15">
        <v>0</v>
      </c>
    </row>
    <row r="170" spans="1:14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</row>
    <row r="171" spans="1:14" x14ac:dyDescent="0.25">
      <c r="A171" s="10" t="s">
        <v>424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>
        <v>0</v>
      </c>
    </row>
    <row r="172" spans="1:14" x14ac:dyDescent="0.25">
      <c r="A172" s="10" t="s">
        <v>426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</row>
    <row r="173" spans="1:14" x14ac:dyDescent="0.25">
      <c r="A173" s="10" t="s">
        <v>428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  <c r="N173" s="15">
        <v>0</v>
      </c>
    </row>
    <row r="174" spans="1:14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</row>
    <row r="175" spans="1:14" x14ac:dyDescent="0.25">
      <c r="A175" s="10" t="s">
        <v>432</v>
      </c>
      <c r="B175" s="15">
        <v>0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</row>
    <row r="176" spans="1:14" x14ac:dyDescent="0.25">
      <c r="A176" s="10" t="s">
        <v>434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</row>
    <row r="177" spans="1:14" x14ac:dyDescent="0.25">
      <c r="A177" s="10" t="s">
        <v>436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  <c r="N177" s="15">
        <v>0</v>
      </c>
    </row>
    <row r="178" spans="1:14" x14ac:dyDescent="0.25">
      <c r="A178" s="10" t="s">
        <v>438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</row>
    <row r="179" spans="1:14" x14ac:dyDescent="0.25">
      <c r="A179" s="10" t="s">
        <v>440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  <c r="N179" s="15">
        <v>0</v>
      </c>
    </row>
    <row r="180" spans="1:14" x14ac:dyDescent="0.25">
      <c r="A180" s="10" t="s">
        <v>442</v>
      </c>
      <c r="B180" s="15">
        <v>0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</row>
    <row r="181" spans="1:14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  <c r="N181" s="15">
        <v>0</v>
      </c>
    </row>
    <row r="182" spans="1:14" x14ac:dyDescent="0.25">
      <c r="A182" s="10" t="s">
        <v>446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</row>
    <row r="183" spans="1:14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  <c r="N183" s="15">
        <v>0</v>
      </c>
    </row>
    <row r="184" spans="1:14" x14ac:dyDescent="0.25">
      <c r="A184" s="10" t="s">
        <v>450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</row>
    <row r="185" spans="1:14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</row>
    <row r="186" spans="1:14" x14ac:dyDescent="0.25">
      <c r="A186" s="10" t="s">
        <v>454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</row>
    <row r="187" spans="1:14" x14ac:dyDescent="0.25">
      <c r="A187" s="10" t="s">
        <v>456</v>
      </c>
      <c r="B187" s="15">
        <v>0</v>
      </c>
      <c r="C187" s="15">
        <v>0</v>
      </c>
      <c r="D187" s="15">
        <v>0</v>
      </c>
      <c r="E187" s="15">
        <v>0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  <c r="N187" s="15">
        <v>0</v>
      </c>
    </row>
    <row r="188" spans="1:14" x14ac:dyDescent="0.25">
      <c r="A188" s="10" t="s">
        <v>458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</row>
    <row r="189" spans="1:14" x14ac:dyDescent="0.25">
      <c r="A189" s="10" t="s">
        <v>460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  <c r="N189" s="15">
        <v>0</v>
      </c>
    </row>
    <row r="190" spans="1:14" x14ac:dyDescent="0.25">
      <c r="A190" s="10" t="s">
        <v>462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</row>
    <row r="191" spans="1:14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  <c r="N191" s="15">
        <v>0</v>
      </c>
    </row>
    <row r="192" spans="1:14" x14ac:dyDescent="0.25">
      <c r="A192" s="10" t="s">
        <v>466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</row>
    <row r="193" spans="1:14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>
        <v>0</v>
      </c>
    </row>
    <row r="194" spans="1:14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</row>
    <row r="195" spans="1:14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  <c r="N195" s="15">
        <v>0</v>
      </c>
    </row>
    <row r="196" spans="1:14" x14ac:dyDescent="0.25">
      <c r="A196" s="10" t="s">
        <v>474</v>
      </c>
      <c r="B196" s="15">
        <v>0</v>
      </c>
      <c r="C196" s="15">
        <v>0</v>
      </c>
      <c r="D196" s="15">
        <v>0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</row>
    <row r="197" spans="1:14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0</v>
      </c>
      <c r="N197" s="15">
        <v>0</v>
      </c>
    </row>
    <row r="198" spans="1:14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</row>
    <row r="199" spans="1:14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  <c r="N199" s="15">
        <v>0</v>
      </c>
    </row>
    <row r="200" spans="1:14" x14ac:dyDescent="0.25">
      <c r="A200" s="10" t="s">
        <v>482</v>
      </c>
      <c r="B200" s="15">
        <v>0</v>
      </c>
      <c r="C200" s="15">
        <v>0</v>
      </c>
      <c r="D200" s="15">
        <v>0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</row>
    <row r="201" spans="1:14" x14ac:dyDescent="0.25">
      <c r="A201" s="10" t="s">
        <v>484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  <c r="N201" s="15">
        <v>0</v>
      </c>
    </row>
    <row r="202" spans="1:14" x14ac:dyDescent="0.25">
      <c r="A202" s="10" t="s">
        <v>486</v>
      </c>
      <c r="B202" s="15">
        <v>0</v>
      </c>
      <c r="C202" s="15">
        <v>0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</row>
    <row r="203" spans="1:14" x14ac:dyDescent="0.25">
      <c r="A203" s="10" t="s">
        <v>488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0</v>
      </c>
    </row>
    <row r="204" spans="1:14" x14ac:dyDescent="0.25">
      <c r="A204" s="10" t="s">
        <v>490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</row>
    <row r="205" spans="1:14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  <c r="N205" s="15">
        <v>0</v>
      </c>
    </row>
    <row r="206" spans="1:14" x14ac:dyDescent="0.25">
      <c r="A206" s="10" t="s">
        <v>494</v>
      </c>
      <c r="B206" s="15">
        <v>0</v>
      </c>
      <c r="C206" s="15">
        <v>0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</row>
    <row r="207" spans="1:14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  <c r="N207" s="15">
        <v>0</v>
      </c>
    </row>
    <row r="208" spans="1:14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</row>
    <row r="209" spans="1:14" x14ac:dyDescent="0.25">
      <c r="A209" s="10" t="s">
        <v>500</v>
      </c>
      <c r="B209" s="15">
        <v>0</v>
      </c>
      <c r="C209" s="15">
        <v>0</v>
      </c>
      <c r="D209" s="15">
        <v>0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  <c r="N209" s="15">
        <v>0</v>
      </c>
    </row>
    <row r="210" spans="1:14" x14ac:dyDescent="0.25">
      <c r="A210" s="10" t="s">
        <v>502</v>
      </c>
      <c r="B210" s="15">
        <v>0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</row>
    <row r="211" spans="1:14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0</v>
      </c>
      <c r="J211" s="15">
        <v>0</v>
      </c>
      <c r="K211" s="15">
        <v>0</v>
      </c>
      <c r="L211" s="15">
        <v>0</v>
      </c>
      <c r="M211" s="15">
        <v>0</v>
      </c>
      <c r="N211" s="15">
        <v>0</v>
      </c>
    </row>
    <row r="212" spans="1:14" x14ac:dyDescent="0.25">
      <c r="A212" s="10" t="s">
        <v>506</v>
      </c>
      <c r="B212" s="15">
        <v>0</v>
      </c>
      <c r="C212" s="15">
        <v>0</v>
      </c>
      <c r="D212" s="15">
        <v>0</v>
      </c>
      <c r="E212" s="15">
        <v>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</row>
    <row r="213" spans="1:14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  <c r="N213" s="15">
        <v>0</v>
      </c>
    </row>
    <row r="214" spans="1:14" x14ac:dyDescent="0.25">
      <c r="A214" s="10" t="s">
        <v>510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</row>
    <row r="215" spans="1:14" x14ac:dyDescent="0.25">
      <c r="A215" s="10" t="s">
        <v>512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8"/>
  <dimension ref="A1:O2"/>
  <sheetViews>
    <sheetView workbookViewId="0">
      <selection activeCell="B2" sqref="B2:N2"/>
    </sheetView>
  </sheetViews>
  <sheetFormatPr defaultRowHeight="12" x14ac:dyDescent="0.2"/>
  <cols>
    <col min="1" max="1" width="11.375" style="10" customWidth="1"/>
    <col min="2" max="14" width="11.625" style="15" customWidth="1"/>
    <col min="15" max="15" width="9" style="15"/>
    <col min="16" max="16384" width="9" style="9"/>
  </cols>
  <sheetData>
    <row r="1" spans="1:15" customFormat="1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16"/>
    </row>
    <row r="2" spans="1:15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  <c r="O2" s="16"/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3"/>
  <dimension ref="A1:N215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</row>
    <row r="5" spans="1:14" x14ac:dyDescent="0.25">
      <c r="A5" s="10" t="s">
        <v>92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</row>
    <row r="6" spans="1:14" x14ac:dyDescent="0.25">
      <c r="A6" s="10" t="s">
        <v>94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</row>
    <row r="7" spans="1:14" x14ac:dyDescent="0.25">
      <c r="A7" s="10" t="s">
        <v>96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</row>
    <row r="8" spans="1:14" x14ac:dyDescent="0.25">
      <c r="A8" s="10" t="s">
        <v>98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</row>
    <row r="9" spans="1:14" x14ac:dyDescent="0.25">
      <c r="A9" s="10" t="s">
        <v>100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10" t="s">
        <v>110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10" t="s">
        <v>112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</row>
    <row r="16" spans="1:14" x14ac:dyDescent="0.25">
      <c r="A16" s="10" t="s">
        <v>114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</row>
    <row r="17" spans="1:14" x14ac:dyDescent="0.25">
      <c r="A17" s="10" t="s">
        <v>116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</row>
    <row r="18" spans="1:14" x14ac:dyDescent="0.25">
      <c r="A18" s="10" t="s">
        <v>118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</row>
    <row r="20" spans="1:14" x14ac:dyDescent="0.25">
      <c r="A20" s="10" t="s">
        <v>122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</row>
    <row r="21" spans="1:14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</row>
    <row r="22" spans="1:14" x14ac:dyDescent="0.25">
      <c r="A22" s="10" t="s">
        <v>126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</row>
    <row r="23" spans="1:14" x14ac:dyDescent="0.25">
      <c r="A23" s="10" t="s">
        <v>128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</row>
    <row r="24" spans="1:14" x14ac:dyDescent="0.25">
      <c r="A24" s="10" t="s">
        <v>130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</row>
    <row r="25" spans="1:14" x14ac:dyDescent="0.25">
      <c r="A25" s="10" t="s">
        <v>132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</row>
    <row r="26" spans="1:14" x14ac:dyDescent="0.25">
      <c r="A26" s="10" t="s">
        <v>134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</row>
    <row r="27" spans="1:14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</row>
    <row r="28" spans="1:14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</row>
    <row r="29" spans="1:14" x14ac:dyDescent="0.25">
      <c r="A29" s="10" t="s">
        <v>140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</row>
    <row r="30" spans="1:14" x14ac:dyDescent="0.25">
      <c r="A30" s="10" t="s">
        <v>142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</row>
    <row r="31" spans="1:14" x14ac:dyDescent="0.25">
      <c r="A31" s="10" t="s">
        <v>144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</row>
    <row r="32" spans="1:14" x14ac:dyDescent="0.25">
      <c r="A32" s="10" t="s">
        <v>146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</row>
    <row r="33" spans="1:14" x14ac:dyDescent="0.25">
      <c r="A33" s="10" t="s">
        <v>148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</row>
    <row r="34" spans="1:14" x14ac:dyDescent="0.25">
      <c r="A34" s="10" t="s">
        <v>150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</row>
    <row r="35" spans="1:14" x14ac:dyDescent="0.25">
      <c r="A35" s="10" t="s">
        <v>152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</row>
    <row r="36" spans="1:14" x14ac:dyDescent="0.25">
      <c r="A36" s="10" t="s">
        <v>154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</row>
    <row r="37" spans="1:14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</row>
    <row r="38" spans="1:14" x14ac:dyDescent="0.25">
      <c r="A38" s="10" t="s">
        <v>158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</row>
    <row r="39" spans="1:14" x14ac:dyDescent="0.25">
      <c r="A39" s="10" t="s">
        <v>160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</row>
    <row r="40" spans="1:14" x14ac:dyDescent="0.25">
      <c r="A40" s="10" t="s">
        <v>162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</row>
    <row r="41" spans="1:14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</row>
    <row r="42" spans="1:14" x14ac:dyDescent="0.25">
      <c r="A42" s="10" t="s">
        <v>166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</row>
    <row r="43" spans="1:14" x14ac:dyDescent="0.25">
      <c r="A43" s="10" t="s">
        <v>168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</row>
    <row r="44" spans="1:14" x14ac:dyDescent="0.25">
      <c r="A44" s="10" t="s">
        <v>170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</row>
    <row r="45" spans="1:14" x14ac:dyDescent="0.25">
      <c r="A45" s="10" t="s">
        <v>172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</row>
    <row r="46" spans="1:14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</row>
    <row r="47" spans="1:14" x14ac:dyDescent="0.25">
      <c r="A47" s="10" t="s">
        <v>176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</row>
    <row r="48" spans="1:14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</row>
    <row r="49" spans="1:14" x14ac:dyDescent="0.25">
      <c r="A49" s="10" t="s">
        <v>180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</row>
    <row r="50" spans="1:14" x14ac:dyDescent="0.25">
      <c r="A50" s="10" t="s">
        <v>182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</row>
    <row r="51" spans="1:14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</row>
    <row r="52" spans="1:14" x14ac:dyDescent="0.25">
      <c r="A52" s="10" t="s">
        <v>186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</row>
    <row r="53" spans="1:14" x14ac:dyDescent="0.25">
      <c r="A53" s="10" t="s">
        <v>188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</row>
    <row r="54" spans="1:14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</row>
    <row r="55" spans="1:14" x14ac:dyDescent="0.25">
      <c r="A55" s="10" t="s">
        <v>192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</row>
    <row r="56" spans="1:14" x14ac:dyDescent="0.25">
      <c r="A56" s="10" t="s">
        <v>194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</row>
    <row r="57" spans="1:14" x14ac:dyDescent="0.25">
      <c r="A57" s="10" t="s">
        <v>196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</row>
    <row r="58" spans="1:14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</row>
    <row r="59" spans="1:14" x14ac:dyDescent="0.25">
      <c r="A59" s="10" t="s">
        <v>200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</row>
    <row r="60" spans="1:14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</row>
    <row r="61" spans="1:14" x14ac:dyDescent="0.25">
      <c r="A61" s="10" t="s">
        <v>204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</row>
    <row r="62" spans="1:14" x14ac:dyDescent="0.25">
      <c r="A62" s="10" t="s">
        <v>206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</row>
    <row r="63" spans="1:14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5">
      <c r="A65" s="10" t="s">
        <v>212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5">
      <c r="A66" s="10" t="s">
        <v>214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5">
      <c r="A67" s="10" t="s">
        <v>216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5">
      <c r="A70" s="10" t="s">
        <v>222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5">
      <c r="A72" s="10" t="s">
        <v>226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</row>
    <row r="75" spans="1:14" x14ac:dyDescent="0.25">
      <c r="A75" s="10" t="s">
        <v>232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>
        <v>0</v>
      </c>
    </row>
    <row r="76" spans="1:14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5">
      <c r="A77" s="10" t="s">
        <v>236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</row>
    <row r="78" spans="1:14" x14ac:dyDescent="0.25">
      <c r="A78" s="10" t="s">
        <v>238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</row>
    <row r="79" spans="1:14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</row>
    <row r="80" spans="1:14" x14ac:dyDescent="0.25">
      <c r="A80" s="10" t="s">
        <v>242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</row>
    <row r="81" spans="1:14" x14ac:dyDescent="0.25">
      <c r="A81" s="10" t="s">
        <v>244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</row>
    <row r="82" spans="1:14" x14ac:dyDescent="0.25">
      <c r="A82" s="10" t="s">
        <v>246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</row>
    <row r="83" spans="1:14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>
        <v>0</v>
      </c>
    </row>
    <row r="84" spans="1:14" x14ac:dyDescent="0.25">
      <c r="A84" s="10" t="s">
        <v>250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</row>
    <row r="85" spans="1:14" x14ac:dyDescent="0.25">
      <c r="A85" s="10" t="s">
        <v>252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</row>
    <row r="86" spans="1:14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5">
      <c r="A87" s="10" t="s">
        <v>256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  <c r="N87" s="15">
        <v>0</v>
      </c>
    </row>
    <row r="88" spans="1:14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</row>
    <row r="89" spans="1:14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>
        <v>0</v>
      </c>
    </row>
    <row r="90" spans="1:14" x14ac:dyDescent="0.25">
      <c r="A90" s="10" t="s">
        <v>262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</row>
    <row r="91" spans="1:14" x14ac:dyDescent="0.25">
      <c r="A91" s="10" t="s">
        <v>264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  <c r="N91" s="15">
        <v>0</v>
      </c>
    </row>
    <row r="92" spans="1:14" x14ac:dyDescent="0.25">
      <c r="A92" s="10" t="s">
        <v>266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</row>
    <row r="93" spans="1:14" x14ac:dyDescent="0.25">
      <c r="A93" s="10" t="s">
        <v>268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</row>
    <row r="94" spans="1:14" x14ac:dyDescent="0.25">
      <c r="A94" s="10" t="s">
        <v>270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</row>
    <row r="95" spans="1:14" x14ac:dyDescent="0.25">
      <c r="A95" s="10" t="s">
        <v>272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0</v>
      </c>
    </row>
    <row r="96" spans="1:14" x14ac:dyDescent="0.25">
      <c r="A96" s="10" t="s">
        <v>274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</row>
    <row r="97" spans="1:14" x14ac:dyDescent="0.25">
      <c r="A97" s="10" t="s">
        <v>276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</row>
    <row r="98" spans="1:14" x14ac:dyDescent="0.25">
      <c r="A98" s="10" t="s">
        <v>278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</row>
    <row r="99" spans="1:14" x14ac:dyDescent="0.25">
      <c r="A99" s="10" t="s">
        <v>280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>
        <v>0</v>
      </c>
    </row>
    <row r="100" spans="1:14" x14ac:dyDescent="0.25">
      <c r="A100" s="10" t="s">
        <v>282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</row>
    <row r="101" spans="1:14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</row>
    <row r="102" spans="1:14" x14ac:dyDescent="0.25">
      <c r="A102" s="10" t="s">
        <v>286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</row>
    <row r="103" spans="1:14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</row>
    <row r="104" spans="1:14" x14ac:dyDescent="0.25">
      <c r="A104" s="10" t="s">
        <v>290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</row>
    <row r="105" spans="1:14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</row>
    <row r="106" spans="1:14" x14ac:dyDescent="0.25">
      <c r="A106" s="10" t="s">
        <v>294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</row>
    <row r="107" spans="1:14" x14ac:dyDescent="0.25">
      <c r="A107" s="10" t="s">
        <v>296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</row>
    <row r="108" spans="1:14" x14ac:dyDescent="0.25">
      <c r="A108" s="10" t="s">
        <v>298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</row>
    <row r="109" spans="1:14" x14ac:dyDescent="0.25">
      <c r="A109" s="10" t="s">
        <v>300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</row>
    <row r="110" spans="1:14" x14ac:dyDescent="0.25">
      <c r="A110" s="10" t="s">
        <v>302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</row>
    <row r="111" spans="1:14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</row>
    <row r="112" spans="1:14" x14ac:dyDescent="0.25">
      <c r="A112" s="10" t="s">
        <v>306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</row>
    <row r="113" spans="1:14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</row>
    <row r="114" spans="1:14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</row>
    <row r="115" spans="1:14" x14ac:dyDescent="0.25">
      <c r="A115" s="10" t="s">
        <v>312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</row>
    <row r="116" spans="1:14" x14ac:dyDescent="0.25">
      <c r="A116" s="10" t="s">
        <v>314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</row>
    <row r="117" spans="1:14" x14ac:dyDescent="0.25">
      <c r="A117" s="10" t="s">
        <v>316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</row>
    <row r="118" spans="1:14" x14ac:dyDescent="0.25">
      <c r="A118" s="10" t="s">
        <v>318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</row>
    <row r="119" spans="1:14" x14ac:dyDescent="0.25">
      <c r="A119" s="10" t="s">
        <v>320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</row>
    <row r="120" spans="1:14" x14ac:dyDescent="0.25">
      <c r="A120" s="10" t="s">
        <v>322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</row>
    <row r="121" spans="1:14" x14ac:dyDescent="0.25">
      <c r="A121" s="10" t="s">
        <v>324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>
        <v>0</v>
      </c>
    </row>
    <row r="122" spans="1:14" x14ac:dyDescent="0.25">
      <c r="A122" s="10" t="s">
        <v>326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</row>
    <row r="123" spans="1:14" x14ac:dyDescent="0.25">
      <c r="A123" s="10" t="s">
        <v>328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</row>
    <row r="124" spans="1:14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</row>
    <row r="125" spans="1:14" x14ac:dyDescent="0.25">
      <c r="A125" s="10" t="s">
        <v>332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5">
      <c r="A126" s="10" t="s">
        <v>334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</row>
    <row r="127" spans="1:14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</row>
    <row r="128" spans="1:14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</row>
    <row r="129" spans="1:14" x14ac:dyDescent="0.25">
      <c r="A129" s="10" t="s">
        <v>340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</row>
    <row r="130" spans="1:14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</row>
    <row r="131" spans="1:14" x14ac:dyDescent="0.25">
      <c r="A131" s="10" t="s">
        <v>344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</row>
    <row r="132" spans="1:14" x14ac:dyDescent="0.25">
      <c r="A132" s="10" t="s">
        <v>346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</row>
    <row r="133" spans="1:14" x14ac:dyDescent="0.25">
      <c r="A133" s="10" t="s">
        <v>348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  <c r="N133" s="15">
        <v>0</v>
      </c>
    </row>
    <row r="134" spans="1:14" x14ac:dyDescent="0.25">
      <c r="A134" s="10" t="s">
        <v>350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</row>
    <row r="135" spans="1:14" x14ac:dyDescent="0.25">
      <c r="A135" s="10" t="s">
        <v>352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5">
        <v>0</v>
      </c>
    </row>
    <row r="136" spans="1:14" x14ac:dyDescent="0.25">
      <c r="A136" s="10" t="s">
        <v>354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</row>
    <row r="137" spans="1:14" x14ac:dyDescent="0.25">
      <c r="A137" s="10" t="s">
        <v>356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  <c r="N137" s="15">
        <v>0</v>
      </c>
    </row>
    <row r="138" spans="1:14" x14ac:dyDescent="0.25">
      <c r="A138" s="10" t="s">
        <v>358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</row>
    <row r="139" spans="1:14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>
        <v>0</v>
      </c>
    </row>
    <row r="140" spans="1:14" x14ac:dyDescent="0.25">
      <c r="A140" s="10" t="s">
        <v>362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</row>
    <row r="141" spans="1:14" x14ac:dyDescent="0.25">
      <c r="A141" s="10" t="s">
        <v>364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>
        <v>0</v>
      </c>
    </row>
    <row r="142" spans="1:14" x14ac:dyDescent="0.25">
      <c r="A142" s="10" t="s">
        <v>366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</row>
    <row r="143" spans="1:14" x14ac:dyDescent="0.25">
      <c r="A143" s="10" t="s">
        <v>368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</row>
    <row r="144" spans="1:14" x14ac:dyDescent="0.25">
      <c r="A144" s="10" t="s">
        <v>370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</row>
    <row r="145" spans="1:14" x14ac:dyDescent="0.25">
      <c r="A145" s="10" t="s">
        <v>372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>
        <v>0</v>
      </c>
    </row>
    <row r="146" spans="1:14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</row>
    <row r="147" spans="1:14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  <c r="N147" s="15">
        <v>0</v>
      </c>
    </row>
    <row r="148" spans="1:14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</row>
    <row r="149" spans="1:14" x14ac:dyDescent="0.25">
      <c r="A149" s="10" t="s">
        <v>380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</row>
    <row r="150" spans="1:14" x14ac:dyDescent="0.25">
      <c r="A150" s="10" t="s">
        <v>382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</row>
    <row r="151" spans="1:14" x14ac:dyDescent="0.25">
      <c r="A151" s="10" t="s">
        <v>384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</row>
    <row r="152" spans="1:14" x14ac:dyDescent="0.25">
      <c r="A152" s="10" t="s">
        <v>386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</row>
    <row r="153" spans="1:14" x14ac:dyDescent="0.25">
      <c r="A153" s="10" t="s">
        <v>388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  <c r="N153" s="15">
        <v>0</v>
      </c>
    </row>
    <row r="154" spans="1:14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</row>
    <row r="155" spans="1:14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  <c r="N155" s="15">
        <v>0</v>
      </c>
    </row>
    <row r="156" spans="1:14" x14ac:dyDescent="0.25">
      <c r="A156" s="10" t="s">
        <v>394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</row>
    <row r="157" spans="1:14" x14ac:dyDescent="0.25">
      <c r="A157" s="10" t="s">
        <v>396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  <c r="N157" s="15">
        <v>0</v>
      </c>
    </row>
    <row r="158" spans="1:14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</row>
    <row r="159" spans="1:14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</row>
    <row r="160" spans="1:14" x14ac:dyDescent="0.25">
      <c r="A160" s="10" t="s">
        <v>402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</row>
    <row r="161" spans="1:14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</row>
    <row r="162" spans="1:14" x14ac:dyDescent="0.25">
      <c r="A162" s="10" t="s">
        <v>406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</row>
    <row r="163" spans="1:14" x14ac:dyDescent="0.25">
      <c r="A163" s="10" t="s">
        <v>408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</row>
    <row r="164" spans="1:14" x14ac:dyDescent="0.25">
      <c r="A164" s="10" t="s">
        <v>410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</row>
    <row r="165" spans="1:14" x14ac:dyDescent="0.25">
      <c r="A165" s="10" t="s">
        <v>412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  <c r="N165" s="15">
        <v>0</v>
      </c>
    </row>
    <row r="166" spans="1:14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</row>
    <row r="167" spans="1:14" x14ac:dyDescent="0.25">
      <c r="A167" s="10" t="s">
        <v>416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>
        <v>0</v>
      </c>
    </row>
    <row r="168" spans="1:14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</row>
    <row r="169" spans="1:14" x14ac:dyDescent="0.25">
      <c r="A169" s="10" t="s">
        <v>420</v>
      </c>
      <c r="B169" s="15">
        <v>0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  <c r="N169" s="15">
        <v>0</v>
      </c>
    </row>
    <row r="170" spans="1:14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</row>
    <row r="171" spans="1:14" x14ac:dyDescent="0.25">
      <c r="A171" s="10" t="s">
        <v>424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>
        <v>0</v>
      </c>
    </row>
    <row r="172" spans="1:14" x14ac:dyDescent="0.25">
      <c r="A172" s="10" t="s">
        <v>426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</row>
    <row r="173" spans="1:14" x14ac:dyDescent="0.25">
      <c r="A173" s="10" t="s">
        <v>428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  <c r="N173" s="15">
        <v>0</v>
      </c>
    </row>
    <row r="174" spans="1:14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</row>
    <row r="175" spans="1:14" x14ac:dyDescent="0.25">
      <c r="A175" s="10" t="s">
        <v>432</v>
      </c>
      <c r="B175" s="15">
        <v>0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</row>
    <row r="176" spans="1:14" x14ac:dyDescent="0.25">
      <c r="A176" s="10" t="s">
        <v>434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</row>
    <row r="177" spans="1:14" x14ac:dyDescent="0.25">
      <c r="A177" s="10" t="s">
        <v>436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  <c r="N177" s="15">
        <v>0</v>
      </c>
    </row>
    <row r="178" spans="1:14" x14ac:dyDescent="0.25">
      <c r="A178" s="10" t="s">
        <v>438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</row>
    <row r="179" spans="1:14" x14ac:dyDescent="0.25">
      <c r="A179" s="10" t="s">
        <v>440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  <c r="N179" s="15">
        <v>0</v>
      </c>
    </row>
    <row r="180" spans="1:14" x14ac:dyDescent="0.25">
      <c r="A180" s="10" t="s">
        <v>442</v>
      </c>
      <c r="B180" s="15">
        <v>0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</row>
    <row r="181" spans="1:14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  <c r="N181" s="15">
        <v>0</v>
      </c>
    </row>
    <row r="182" spans="1:14" x14ac:dyDescent="0.25">
      <c r="A182" s="10" t="s">
        <v>446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</row>
    <row r="183" spans="1:14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  <c r="N183" s="15">
        <v>0</v>
      </c>
    </row>
    <row r="184" spans="1:14" x14ac:dyDescent="0.25">
      <c r="A184" s="10" t="s">
        <v>450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</row>
    <row r="185" spans="1:14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</row>
    <row r="186" spans="1:14" x14ac:dyDescent="0.25">
      <c r="A186" s="10" t="s">
        <v>454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</row>
    <row r="187" spans="1:14" x14ac:dyDescent="0.25">
      <c r="A187" s="10" t="s">
        <v>456</v>
      </c>
      <c r="B187" s="15">
        <v>0</v>
      </c>
      <c r="C187" s="15">
        <v>0</v>
      </c>
      <c r="D187" s="15">
        <v>0</v>
      </c>
      <c r="E187" s="15">
        <v>0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  <c r="N187" s="15">
        <v>0</v>
      </c>
    </row>
    <row r="188" spans="1:14" x14ac:dyDescent="0.25">
      <c r="A188" s="10" t="s">
        <v>458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</row>
    <row r="189" spans="1:14" x14ac:dyDescent="0.25">
      <c r="A189" s="10" t="s">
        <v>460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  <c r="N189" s="15">
        <v>0</v>
      </c>
    </row>
    <row r="190" spans="1:14" x14ac:dyDescent="0.25">
      <c r="A190" s="10" t="s">
        <v>462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</row>
    <row r="191" spans="1:14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  <c r="N191" s="15">
        <v>0</v>
      </c>
    </row>
    <row r="192" spans="1:14" x14ac:dyDescent="0.25">
      <c r="A192" s="10" t="s">
        <v>466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</row>
    <row r="193" spans="1:14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>
        <v>0</v>
      </c>
    </row>
    <row r="194" spans="1:14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</row>
    <row r="195" spans="1:14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  <c r="N195" s="15">
        <v>0</v>
      </c>
    </row>
    <row r="196" spans="1:14" x14ac:dyDescent="0.25">
      <c r="A196" s="10" t="s">
        <v>474</v>
      </c>
      <c r="B196" s="15">
        <v>0</v>
      </c>
      <c r="C196" s="15">
        <v>0</v>
      </c>
      <c r="D196" s="15">
        <v>0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</row>
    <row r="197" spans="1:14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0</v>
      </c>
      <c r="N197" s="15">
        <v>0</v>
      </c>
    </row>
    <row r="198" spans="1:14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</row>
    <row r="199" spans="1:14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  <c r="N199" s="15">
        <v>0</v>
      </c>
    </row>
    <row r="200" spans="1:14" x14ac:dyDescent="0.25">
      <c r="A200" s="10" t="s">
        <v>482</v>
      </c>
      <c r="B200" s="15">
        <v>0</v>
      </c>
      <c r="C200" s="15">
        <v>0</v>
      </c>
      <c r="D200" s="15">
        <v>0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</row>
    <row r="201" spans="1:14" x14ac:dyDescent="0.25">
      <c r="A201" s="10" t="s">
        <v>484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  <c r="N201" s="15">
        <v>0</v>
      </c>
    </row>
    <row r="202" spans="1:14" x14ac:dyDescent="0.25">
      <c r="A202" s="10" t="s">
        <v>486</v>
      </c>
      <c r="B202" s="15">
        <v>0</v>
      </c>
      <c r="C202" s="15">
        <v>0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</row>
    <row r="203" spans="1:14" x14ac:dyDescent="0.25">
      <c r="A203" s="10" t="s">
        <v>488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0</v>
      </c>
    </row>
    <row r="204" spans="1:14" x14ac:dyDescent="0.25">
      <c r="A204" s="10" t="s">
        <v>490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</row>
    <row r="205" spans="1:14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  <c r="N205" s="15">
        <v>0</v>
      </c>
    </row>
    <row r="206" spans="1:14" x14ac:dyDescent="0.25">
      <c r="A206" s="10" t="s">
        <v>494</v>
      </c>
      <c r="B206" s="15">
        <v>0</v>
      </c>
      <c r="C206" s="15">
        <v>0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</row>
    <row r="207" spans="1:14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  <c r="N207" s="15">
        <v>0</v>
      </c>
    </row>
    <row r="208" spans="1:14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</row>
    <row r="209" spans="1:14" x14ac:dyDescent="0.25">
      <c r="A209" s="10" t="s">
        <v>500</v>
      </c>
      <c r="B209" s="15">
        <v>0</v>
      </c>
      <c r="C209" s="15">
        <v>0</v>
      </c>
      <c r="D209" s="15">
        <v>0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  <c r="N209" s="15">
        <v>0</v>
      </c>
    </row>
    <row r="210" spans="1:14" x14ac:dyDescent="0.25">
      <c r="A210" s="10" t="s">
        <v>502</v>
      </c>
      <c r="B210" s="15">
        <v>0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</row>
    <row r="211" spans="1:14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0</v>
      </c>
      <c r="J211" s="15">
        <v>0</v>
      </c>
      <c r="K211" s="15">
        <v>0</v>
      </c>
      <c r="L211" s="15">
        <v>0</v>
      </c>
      <c r="M211" s="15">
        <v>0</v>
      </c>
      <c r="N211" s="15">
        <v>0</v>
      </c>
    </row>
    <row r="212" spans="1:14" x14ac:dyDescent="0.25">
      <c r="A212" s="10" t="s">
        <v>506</v>
      </c>
      <c r="B212" s="15">
        <v>0</v>
      </c>
      <c r="C212" s="15">
        <v>0</v>
      </c>
      <c r="D212" s="15">
        <v>0</v>
      </c>
      <c r="E212" s="15">
        <v>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</row>
    <row r="213" spans="1:14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  <c r="N213" s="15">
        <v>0</v>
      </c>
    </row>
    <row r="214" spans="1:14" x14ac:dyDescent="0.25">
      <c r="A214" s="10" t="s">
        <v>510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</row>
    <row r="215" spans="1:14" x14ac:dyDescent="0.25">
      <c r="A215" s="10" t="s">
        <v>512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2"/>
  <dimension ref="A1:N215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</row>
    <row r="5" spans="1:14" x14ac:dyDescent="0.25">
      <c r="A5" s="10" t="s">
        <v>92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</row>
    <row r="6" spans="1:14" x14ac:dyDescent="0.25">
      <c r="A6" s="10" t="s">
        <v>94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</row>
    <row r="7" spans="1:14" x14ac:dyDescent="0.25">
      <c r="A7" s="10" t="s">
        <v>96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</row>
    <row r="8" spans="1:14" x14ac:dyDescent="0.25">
      <c r="A8" s="10" t="s">
        <v>98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</row>
    <row r="9" spans="1:14" x14ac:dyDescent="0.25">
      <c r="A9" s="10" t="s">
        <v>100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10" t="s">
        <v>110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10" t="s">
        <v>112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</row>
    <row r="16" spans="1:14" x14ac:dyDescent="0.25">
      <c r="A16" s="10" t="s">
        <v>114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</row>
    <row r="17" spans="1:14" x14ac:dyDescent="0.25">
      <c r="A17" s="10" t="s">
        <v>116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</row>
    <row r="18" spans="1:14" x14ac:dyDescent="0.25">
      <c r="A18" s="10" t="s">
        <v>118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</row>
    <row r="20" spans="1:14" x14ac:dyDescent="0.25">
      <c r="A20" s="10" t="s">
        <v>122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</row>
    <row r="21" spans="1:14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</row>
    <row r="22" spans="1:14" x14ac:dyDescent="0.25">
      <c r="A22" s="10" t="s">
        <v>126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</row>
    <row r="23" spans="1:14" x14ac:dyDescent="0.25">
      <c r="A23" s="10" t="s">
        <v>128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</row>
    <row r="24" spans="1:14" x14ac:dyDescent="0.25">
      <c r="A24" s="10" t="s">
        <v>130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</row>
    <row r="25" spans="1:14" x14ac:dyDescent="0.25">
      <c r="A25" s="10" t="s">
        <v>132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</row>
    <row r="26" spans="1:14" x14ac:dyDescent="0.25">
      <c r="A26" s="10" t="s">
        <v>134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</row>
    <row r="27" spans="1:14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</row>
    <row r="28" spans="1:14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</row>
    <row r="29" spans="1:14" x14ac:dyDescent="0.25">
      <c r="A29" s="10" t="s">
        <v>140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</row>
    <row r="30" spans="1:14" x14ac:dyDescent="0.25">
      <c r="A30" s="10" t="s">
        <v>142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</row>
    <row r="31" spans="1:14" x14ac:dyDescent="0.25">
      <c r="A31" s="10" t="s">
        <v>144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</row>
    <row r="32" spans="1:14" x14ac:dyDescent="0.25">
      <c r="A32" s="10" t="s">
        <v>146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</row>
    <row r="33" spans="1:14" x14ac:dyDescent="0.25">
      <c r="A33" s="10" t="s">
        <v>148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</row>
    <row r="34" spans="1:14" x14ac:dyDescent="0.25">
      <c r="A34" s="10" t="s">
        <v>150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</row>
    <row r="35" spans="1:14" x14ac:dyDescent="0.25">
      <c r="A35" s="10" t="s">
        <v>152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</row>
    <row r="36" spans="1:14" x14ac:dyDescent="0.25">
      <c r="A36" s="10" t="s">
        <v>154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</row>
    <row r="37" spans="1:14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</row>
    <row r="38" spans="1:14" x14ac:dyDescent="0.25">
      <c r="A38" s="10" t="s">
        <v>158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</row>
    <row r="39" spans="1:14" x14ac:dyDescent="0.25">
      <c r="A39" s="10" t="s">
        <v>160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</row>
    <row r="40" spans="1:14" x14ac:dyDescent="0.25">
      <c r="A40" s="10" t="s">
        <v>162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</row>
    <row r="41" spans="1:14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</row>
    <row r="42" spans="1:14" x14ac:dyDescent="0.25">
      <c r="A42" s="10" t="s">
        <v>166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</row>
    <row r="43" spans="1:14" x14ac:dyDescent="0.25">
      <c r="A43" s="10" t="s">
        <v>168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</row>
    <row r="44" spans="1:14" x14ac:dyDescent="0.25">
      <c r="A44" s="10" t="s">
        <v>170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</row>
    <row r="45" spans="1:14" x14ac:dyDescent="0.25">
      <c r="A45" s="10" t="s">
        <v>172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</row>
    <row r="46" spans="1:14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</row>
    <row r="47" spans="1:14" x14ac:dyDescent="0.25">
      <c r="A47" s="10" t="s">
        <v>176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</row>
    <row r="48" spans="1:14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</row>
    <row r="49" spans="1:14" x14ac:dyDescent="0.25">
      <c r="A49" s="10" t="s">
        <v>180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</row>
    <row r="50" spans="1:14" x14ac:dyDescent="0.25">
      <c r="A50" s="10" t="s">
        <v>182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</row>
    <row r="51" spans="1:14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</row>
    <row r="52" spans="1:14" x14ac:dyDescent="0.25">
      <c r="A52" s="10" t="s">
        <v>186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</row>
    <row r="53" spans="1:14" x14ac:dyDescent="0.25">
      <c r="A53" s="10" t="s">
        <v>188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</row>
    <row r="54" spans="1:14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</row>
    <row r="55" spans="1:14" x14ac:dyDescent="0.25">
      <c r="A55" s="10" t="s">
        <v>192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</row>
    <row r="56" spans="1:14" x14ac:dyDescent="0.25">
      <c r="A56" s="10" t="s">
        <v>194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</row>
    <row r="57" spans="1:14" x14ac:dyDescent="0.25">
      <c r="A57" s="10" t="s">
        <v>196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</row>
    <row r="58" spans="1:14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</row>
    <row r="59" spans="1:14" x14ac:dyDescent="0.25">
      <c r="A59" s="10" t="s">
        <v>200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</row>
    <row r="60" spans="1:14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</row>
    <row r="61" spans="1:14" x14ac:dyDescent="0.25">
      <c r="A61" s="10" t="s">
        <v>204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</row>
    <row r="62" spans="1:14" x14ac:dyDescent="0.25">
      <c r="A62" s="10" t="s">
        <v>206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</row>
    <row r="63" spans="1:14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5">
      <c r="A65" s="10" t="s">
        <v>212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5">
      <c r="A66" s="10" t="s">
        <v>214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5">
      <c r="A67" s="10" t="s">
        <v>216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5">
      <c r="A70" s="10" t="s">
        <v>222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5">
      <c r="A72" s="10" t="s">
        <v>226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</row>
    <row r="75" spans="1:14" x14ac:dyDescent="0.25">
      <c r="A75" s="10" t="s">
        <v>232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>
        <v>0</v>
      </c>
    </row>
    <row r="76" spans="1:14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5">
      <c r="A77" s="10" t="s">
        <v>236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</row>
    <row r="78" spans="1:14" x14ac:dyDescent="0.25">
      <c r="A78" s="10" t="s">
        <v>238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</row>
    <row r="79" spans="1:14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</row>
    <row r="80" spans="1:14" x14ac:dyDescent="0.25">
      <c r="A80" s="10" t="s">
        <v>242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</row>
    <row r="81" spans="1:14" x14ac:dyDescent="0.25">
      <c r="A81" s="10" t="s">
        <v>244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</row>
    <row r="82" spans="1:14" x14ac:dyDescent="0.25">
      <c r="A82" s="10" t="s">
        <v>246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</row>
    <row r="83" spans="1:14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>
        <v>0</v>
      </c>
    </row>
    <row r="84" spans="1:14" x14ac:dyDescent="0.25">
      <c r="A84" s="10" t="s">
        <v>250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</row>
    <row r="85" spans="1:14" x14ac:dyDescent="0.25">
      <c r="A85" s="10" t="s">
        <v>252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</row>
    <row r="86" spans="1:14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5">
      <c r="A87" s="10" t="s">
        <v>256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  <c r="N87" s="15">
        <v>0</v>
      </c>
    </row>
    <row r="88" spans="1:14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</row>
    <row r="89" spans="1:14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>
        <v>0</v>
      </c>
    </row>
    <row r="90" spans="1:14" x14ac:dyDescent="0.25">
      <c r="A90" s="10" t="s">
        <v>262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</row>
    <row r="91" spans="1:14" x14ac:dyDescent="0.25">
      <c r="A91" s="10" t="s">
        <v>264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  <c r="N91" s="15">
        <v>0</v>
      </c>
    </row>
    <row r="92" spans="1:14" x14ac:dyDescent="0.25">
      <c r="A92" s="10" t="s">
        <v>266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</row>
    <row r="93" spans="1:14" x14ac:dyDescent="0.25">
      <c r="A93" s="10" t="s">
        <v>268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</row>
    <row r="94" spans="1:14" x14ac:dyDescent="0.25">
      <c r="A94" s="10" t="s">
        <v>270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</row>
    <row r="95" spans="1:14" x14ac:dyDescent="0.25">
      <c r="A95" s="10" t="s">
        <v>272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0</v>
      </c>
    </row>
    <row r="96" spans="1:14" x14ac:dyDescent="0.25">
      <c r="A96" s="10" t="s">
        <v>274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</row>
    <row r="97" spans="1:14" x14ac:dyDescent="0.25">
      <c r="A97" s="10" t="s">
        <v>276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</row>
    <row r="98" spans="1:14" x14ac:dyDescent="0.25">
      <c r="A98" s="10" t="s">
        <v>278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</row>
    <row r="99" spans="1:14" x14ac:dyDescent="0.25">
      <c r="A99" s="10" t="s">
        <v>280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>
        <v>0</v>
      </c>
    </row>
    <row r="100" spans="1:14" x14ac:dyDescent="0.25">
      <c r="A100" s="10" t="s">
        <v>282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</row>
    <row r="101" spans="1:14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</row>
    <row r="102" spans="1:14" x14ac:dyDescent="0.25">
      <c r="A102" s="10" t="s">
        <v>286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</row>
    <row r="103" spans="1:14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</row>
    <row r="104" spans="1:14" x14ac:dyDescent="0.25">
      <c r="A104" s="10" t="s">
        <v>290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</row>
    <row r="105" spans="1:14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</row>
    <row r="106" spans="1:14" x14ac:dyDescent="0.25">
      <c r="A106" s="10" t="s">
        <v>294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</row>
    <row r="107" spans="1:14" x14ac:dyDescent="0.25">
      <c r="A107" s="10" t="s">
        <v>296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</row>
    <row r="108" spans="1:14" x14ac:dyDescent="0.25">
      <c r="A108" s="10" t="s">
        <v>298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</row>
    <row r="109" spans="1:14" x14ac:dyDescent="0.25">
      <c r="A109" s="10" t="s">
        <v>300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</row>
    <row r="110" spans="1:14" x14ac:dyDescent="0.25">
      <c r="A110" s="10" t="s">
        <v>302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</row>
    <row r="111" spans="1:14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</row>
    <row r="112" spans="1:14" x14ac:dyDescent="0.25">
      <c r="A112" s="10" t="s">
        <v>306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</row>
    <row r="113" spans="1:14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</row>
    <row r="114" spans="1:14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</row>
    <row r="115" spans="1:14" x14ac:dyDescent="0.25">
      <c r="A115" s="10" t="s">
        <v>312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</row>
    <row r="116" spans="1:14" x14ac:dyDescent="0.25">
      <c r="A116" s="10" t="s">
        <v>314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</row>
    <row r="117" spans="1:14" x14ac:dyDescent="0.25">
      <c r="A117" s="10" t="s">
        <v>316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</row>
    <row r="118" spans="1:14" x14ac:dyDescent="0.25">
      <c r="A118" s="10" t="s">
        <v>318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</row>
    <row r="119" spans="1:14" x14ac:dyDescent="0.25">
      <c r="A119" s="10" t="s">
        <v>320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</row>
    <row r="120" spans="1:14" x14ac:dyDescent="0.25">
      <c r="A120" s="10" t="s">
        <v>322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</row>
    <row r="121" spans="1:14" x14ac:dyDescent="0.25">
      <c r="A121" s="10" t="s">
        <v>324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>
        <v>0</v>
      </c>
    </row>
    <row r="122" spans="1:14" x14ac:dyDescent="0.25">
      <c r="A122" s="10" t="s">
        <v>326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</row>
    <row r="123" spans="1:14" x14ac:dyDescent="0.25">
      <c r="A123" s="10" t="s">
        <v>328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</row>
    <row r="124" spans="1:14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</row>
    <row r="125" spans="1:14" x14ac:dyDescent="0.25">
      <c r="A125" s="10" t="s">
        <v>332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5">
      <c r="A126" s="10" t="s">
        <v>334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</row>
    <row r="127" spans="1:14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</row>
    <row r="128" spans="1:14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</row>
    <row r="129" spans="1:14" x14ac:dyDescent="0.25">
      <c r="A129" s="10" t="s">
        <v>340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</row>
    <row r="130" spans="1:14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</row>
    <row r="131" spans="1:14" x14ac:dyDescent="0.25">
      <c r="A131" s="10" t="s">
        <v>344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</row>
    <row r="132" spans="1:14" x14ac:dyDescent="0.25">
      <c r="A132" s="10" t="s">
        <v>346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</row>
    <row r="133" spans="1:14" x14ac:dyDescent="0.25">
      <c r="A133" s="10" t="s">
        <v>348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  <c r="N133" s="15">
        <v>0</v>
      </c>
    </row>
    <row r="134" spans="1:14" x14ac:dyDescent="0.25">
      <c r="A134" s="10" t="s">
        <v>350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</row>
    <row r="135" spans="1:14" x14ac:dyDescent="0.25">
      <c r="A135" s="10" t="s">
        <v>352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5">
        <v>0</v>
      </c>
    </row>
    <row r="136" spans="1:14" x14ac:dyDescent="0.25">
      <c r="A136" s="10" t="s">
        <v>354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</row>
    <row r="137" spans="1:14" x14ac:dyDescent="0.25">
      <c r="A137" s="10" t="s">
        <v>356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  <c r="N137" s="15">
        <v>0</v>
      </c>
    </row>
    <row r="138" spans="1:14" x14ac:dyDescent="0.25">
      <c r="A138" s="10" t="s">
        <v>358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</row>
    <row r="139" spans="1:14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>
        <v>0</v>
      </c>
    </row>
    <row r="140" spans="1:14" x14ac:dyDescent="0.25">
      <c r="A140" s="10" t="s">
        <v>362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</row>
    <row r="141" spans="1:14" x14ac:dyDescent="0.25">
      <c r="A141" s="10" t="s">
        <v>364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>
        <v>0</v>
      </c>
    </row>
    <row r="142" spans="1:14" x14ac:dyDescent="0.25">
      <c r="A142" s="10" t="s">
        <v>366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</row>
    <row r="143" spans="1:14" x14ac:dyDescent="0.25">
      <c r="A143" s="10" t="s">
        <v>368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</row>
    <row r="144" spans="1:14" x14ac:dyDescent="0.25">
      <c r="A144" s="10" t="s">
        <v>370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</row>
    <row r="145" spans="1:14" x14ac:dyDescent="0.25">
      <c r="A145" s="10" t="s">
        <v>372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>
        <v>0</v>
      </c>
    </row>
    <row r="146" spans="1:14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</row>
    <row r="147" spans="1:14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  <c r="N147" s="15">
        <v>0</v>
      </c>
    </row>
    <row r="148" spans="1:14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</row>
    <row r="149" spans="1:14" x14ac:dyDescent="0.25">
      <c r="A149" s="10" t="s">
        <v>380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</row>
    <row r="150" spans="1:14" x14ac:dyDescent="0.25">
      <c r="A150" s="10" t="s">
        <v>382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</row>
    <row r="151" spans="1:14" x14ac:dyDescent="0.25">
      <c r="A151" s="10" t="s">
        <v>384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</row>
    <row r="152" spans="1:14" x14ac:dyDescent="0.25">
      <c r="A152" s="10" t="s">
        <v>386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</row>
    <row r="153" spans="1:14" x14ac:dyDescent="0.25">
      <c r="A153" s="10" t="s">
        <v>388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  <c r="N153" s="15">
        <v>0</v>
      </c>
    </row>
    <row r="154" spans="1:14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</row>
    <row r="155" spans="1:14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  <c r="N155" s="15">
        <v>0</v>
      </c>
    </row>
    <row r="156" spans="1:14" x14ac:dyDescent="0.25">
      <c r="A156" s="10" t="s">
        <v>394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</row>
    <row r="157" spans="1:14" x14ac:dyDescent="0.25">
      <c r="A157" s="10" t="s">
        <v>396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  <c r="N157" s="15">
        <v>0</v>
      </c>
    </row>
    <row r="158" spans="1:14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</row>
    <row r="159" spans="1:14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</row>
    <row r="160" spans="1:14" x14ac:dyDescent="0.25">
      <c r="A160" s="10" t="s">
        <v>402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</row>
    <row r="161" spans="1:14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</row>
    <row r="162" spans="1:14" x14ac:dyDescent="0.25">
      <c r="A162" s="10" t="s">
        <v>406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</row>
    <row r="163" spans="1:14" x14ac:dyDescent="0.25">
      <c r="A163" s="10" t="s">
        <v>408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</row>
    <row r="164" spans="1:14" x14ac:dyDescent="0.25">
      <c r="A164" s="10" t="s">
        <v>410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</row>
    <row r="165" spans="1:14" x14ac:dyDescent="0.25">
      <c r="A165" s="10" t="s">
        <v>412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  <c r="N165" s="15">
        <v>0</v>
      </c>
    </row>
    <row r="166" spans="1:14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</row>
    <row r="167" spans="1:14" x14ac:dyDescent="0.25">
      <c r="A167" s="10" t="s">
        <v>416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>
        <v>0</v>
      </c>
    </row>
    <row r="168" spans="1:14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</row>
    <row r="169" spans="1:14" x14ac:dyDescent="0.25">
      <c r="A169" s="10" t="s">
        <v>420</v>
      </c>
      <c r="B169" s="15">
        <v>0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  <c r="N169" s="15">
        <v>0</v>
      </c>
    </row>
    <row r="170" spans="1:14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</row>
    <row r="171" spans="1:14" x14ac:dyDescent="0.25">
      <c r="A171" s="10" t="s">
        <v>424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>
        <v>0</v>
      </c>
    </row>
    <row r="172" spans="1:14" x14ac:dyDescent="0.25">
      <c r="A172" s="10" t="s">
        <v>426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</row>
    <row r="173" spans="1:14" x14ac:dyDescent="0.25">
      <c r="A173" s="10" t="s">
        <v>428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  <c r="N173" s="15">
        <v>0</v>
      </c>
    </row>
    <row r="174" spans="1:14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</row>
    <row r="175" spans="1:14" x14ac:dyDescent="0.25">
      <c r="A175" s="10" t="s">
        <v>432</v>
      </c>
      <c r="B175" s="15">
        <v>0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</row>
    <row r="176" spans="1:14" x14ac:dyDescent="0.25">
      <c r="A176" s="10" t="s">
        <v>434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</row>
    <row r="177" spans="1:14" x14ac:dyDescent="0.25">
      <c r="A177" s="10" t="s">
        <v>436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  <c r="N177" s="15">
        <v>0</v>
      </c>
    </row>
    <row r="178" spans="1:14" x14ac:dyDescent="0.25">
      <c r="A178" s="10" t="s">
        <v>438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</row>
    <row r="179" spans="1:14" x14ac:dyDescent="0.25">
      <c r="A179" s="10" t="s">
        <v>440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  <c r="N179" s="15">
        <v>0</v>
      </c>
    </row>
    <row r="180" spans="1:14" x14ac:dyDescent="0.25">
      <c r="A180" s="10" t="s">
        <v>442</v>
      </c>
      <c r="B180" s="15">
        <v>0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</row>
    <row r="181" spans="1:14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  <c r="N181" s="15">
        <v>0</v>
      </c>
    </row>
    <row r="182" spans="1:14" x14ac:dyDescent="0.25">
      <c r="A182" s="10" t="s">
        <v>446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</row>
    <row r="183" spans="1:14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  <c r="N183" s="15">
        <v>0</v>
      </c>
    </row>
    <row r="184" spans="1:14" x14ac:dyDescent="0.25">
      <c r="A184" s="10" t="s">
        <v>450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</row>
    <row r="185" spans="1:14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</row>
    <row r="186" spans="1:14" x14ac:dyDescent="0.25">
      <c r="A186" s="10" t="s">
        <v>454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</row>
    <row r="187" spans="1:14" x14ac:dyDescent="0.25">
      <c r="A187" s="10" t="s">
        <v>456</v>
      </c>
      <c r="B187" s="15">
        <v>0</v>
      </c>
      <c r="C187" s="15">
        <v>0</v>
      </c>
      <c r="D187" s="15">
        <v>0</v>
      </c>
      <c r="E187" s="15">
        <v>0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  <c r="N187" s="15">
        <v>0</v>
      </c>
    </row>
    <row r="188" spans="1:14" x14ac:dyDescent="0.25">
      <c r="A188" s="10" t="s">
        <v>458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</row>
    <row r="189" spans="1:14" x14ac:dyDescent="0.25">
      <c r="A189" s="10" t="s">
        <v>460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  <c r="N189" s="15">
        <v>0</v>
      </c>
    </row>
    <row r="190" spans="1:14" x14ac:dyDescent="0.25">
      <c r="A190" s="10" t="s">
        <v>462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</row>
    <row r="191" spans="1:14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  <c r="N191" s="15">
        <v>0</v>
      </c>
    </row>
    <row r="192" spans="1:14" x14ac:dyDescent="0.25">
      <c r="A192" s="10" t="s">
        <v>466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</row>
    <row r="193" spans="1:14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>
        <v>0</v>
      </c>
    </row>
    <row r="194" spans="1:14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</row>
    <row r="195" spans="1:14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  <c r="N195" s="15">
        <v>0</v>
      </c>
    </row>
    <row r="196" spans="1:14" x14ac:dyDescent="0.25">
      <c r="A196" s="10" t="s">
        <v>474</v>
      </c>
      <c r="B196" s="15">
        <v>0</v>
      </c>
      <c r="C196" s="15">
        <v>0</v>
      </c>
      <c r="D196" s="15">
        <v>0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</row>
    <row r="197" spans="1:14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0</v>
      </c>
      <c r="N197" s="15">
        <v>0</v>
      </c>
    </row>
    <row r="198" spans="1:14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</row>
    <row r="199" spans="1:14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  <c r="N199" s="15">
        <v>0</v>
      </c>
    </row>
    <row r="200" spans="1:14" x14ac:dyDescent="0.25">
      <c r="A200" s="10" t="s">
        <v>482</v>
      </c>
      <c r="B200" s="15">
        <v>0</v>
      </c>
      <c r="C200" s="15">
        <v>0</v>
      </c>
      <c r="D200" s="15">
        <v>0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</row>
    <row r="201" spans="1:14" x14ac:dyDescent="0.25">
      <c r="A201" s="10" t="s">
        <v>484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  <c r="N201" s="15">
        <v>0</v>
      </c>
    </row>
    <row r="202" spans="1:14" x14ac:dyDescent="0.25">
      <c r="A202" s="10" t="s">
        <v>486</v>
      </c>
      <c r="B202" s="15">
        <v>0</v>
      </c>
      <c r="C202" s="15">
        <v>0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</row>
    <row r="203" spans="1:14" x14ac:dyDescent="0.25">
      <c r="A203" s="10" t="s">
        <v>488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0</v>
      </c>
    </row>
    <row r="204" spans="1:14" x14ac:dyDescent="0.25">
      <c r="A204" s="10" t="s">
        <v>490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</row>
    <row r="205" spans="1:14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  <c r="N205" s="15">
        <v>0</v>
      </c>
    </row>
    <row r="206" spans="1:14" x14ac:dyDescent="0.25">
      <c r="A206" s="10" t="s">
        <v>494</v>
      </c>
      <c r="B206" s="15">
        <v>0</v>
      </c>
      <c r="C206" s="15">
        <v>0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</row>
    <row r="207" spans="1:14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  <c r="N207" s="15">
        <v>0</v>
      </c>
    </row>
    <row r="208" spans="1:14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</row>
    <row r="209" spans="1:14" x14ac:dyDescent="0.25">
      <c r="A209" s="10" t="s">
        <v>500</v>
      </c>
      <c r="B209" s="15">
        <v>0</v>
      </c>
      <c r="C209" s="15">
        <v>0</v>
      </c>
      <c r="D209" s="15">
        <v>0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  <c r="N209" s="15">
        <v>0</v>
      </c>
    </row>
    <row r="210" spans="1:14" x14ac:dyDescent="0.25">
      <c r="A210" s="10" t="s">
        <v>502</v>
      </c>
      <c r="B210" s="15">
        <v>0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</row>
    <row r="211" spans="1:14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0</v>
      </c>
      <c r="J211" s="15">
        <v>0</v>
      </c>
      <c r="K211" s="15">
        <v>0</v>
      </c>
      <c r="L211" s="15">
        <v>0</v>
      </c>
      <c r="M211" s="15">
        <v>0</v>
      </c>
      <c r="N211" s="15">
        <v>0</v>
      </c>
    </row>
    <row r="212" spans="1:14" x14ac:dyDescent="0.25">
      <c r="A212" s="10" t="s">
        <v>506</v>
      </c>
      <c r="B212" s="15">
        <v>0</v>
      </c>
      <c r="C212" s="15">
        <v>0</v>
      </c>
      <c r="D212" s="15">
        <v>0</v>
      </c>
      <c r="E212" s="15">
        <v>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</row>
    <row r="213" spans="1:14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  <c r="N213" s="15">
        <v>0</v>
      </c>
    </row>
    <row r="214" spans="1:14" x14ac:dyDescent="0.25">
      <c r="A214" s="10" t="s">
        <v>510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</row>
    <row r="215" spans="1:14" x14ac:dyDescent="0.25">
      <c r="A215" s="10" t="s">
        <v>512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1"/>
  <dimension ref="A1:N215"/>
  <sheetViews>
    <sheetView workbookViewId="0">
      <selection sqref="A1:N1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</row>
    <row r="5" spans="1:14" x14ac:dyDescent="0.25">
      <c r="A5" s="10" t="s">
        <v>92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</row>
    <row r="6" spans="1:14" x14ac:dyDescent="0.25">
      <c r="A6" s="10" t="s">
        <v>94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</row>
    <row r="7" spans="1:14" x14ac:dyDescent="0.25">
      <c r="A7" s="10" t="s">
        <v>96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</row>
    <row r="8" spans="1:14" x14ac:dyDescent="0.25">
      <c r="A8" s="10" t="s">
        <v>98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</row>
    <row r="9" spans="1:14" x14ac:dyDescent="0.25">
      <c r="A9" s="10" t="s">
        <v>100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10" t="s">
        <v>110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10" t="s">
        <v>112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</row>
    <row r="16" spans="1:14" x14ac:dyDescent="0.25">
      <c r="A16" s="10" t="s">
        <v>114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</row>
    <row r="17" spans="1:14" x14ac:dyDescent="0.25">
      <c r="A17" s="10" t="s">
        <v>116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</row>
    <row r="18" spans="1:14" x14ac:dyDescent="0.25">
      <c r="A18" s="10" t="s">
        <v>118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</row>
    <row r="20" spans="1:14" x14ac:dyDescent="0.25">
      <c r="A20" s="10" t="s">
        <v>122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</row>
    <row r="21" spans="1:14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</row>
    <row r="22" spans="1:14" x14ac:dyDescent="0.25">
      <c r="A22" s="10" t="s">
        <v>126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</row>
    <row r="23" spans="1:14" x14ac:dyDescent="0.25">
      <c r="A23" s="10" t="s">
        <v>128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</row>
    <row r="24" spans="1:14" x14ac:dyDescent="0.25">
      <c r="A24" s="10" t="s">
        <v>130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</row>
    <row r="25" spans="1:14" x14ac:dyDescent="0.25">
      <c r="A25" s="10" t="s">
        <v>132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</row>
    <row r="26" spans="1:14" x14ac:dyDescent="0.25">
      <c r="A26" s="10" t="s">
        <v>134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</row>
    <row r="27" spans="1:14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</row>
    <row r="28" spans="1:14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</row>
    <row r="29" spans="1:14" x14ac:dyDescent="0.25">
      <c r="A29" s="10" t="s">
        <v>140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</row>
    <row r="30" spans="1:14" x14ac:dyDescent="0.25">
      <c r="A30" s="10" t="s">
        <v>142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</row>
    <row r="31" spans="1:14" x14ac:dyDescent="0.25">
      <c r="A31" s="10" t="s">
        <v>144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</row>
    <row r="32" spans="1:14" x14ac:dyDescent="0.25">
      <c r="A32" s="10" t="s">
        <v>146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</row>
    <row r="33" spans="1:14" x14ac:dyDescent="0.25">
      <c r="A33" s="10" t="s">
        <v>148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</row>
    <row r="34" spans="1:14" x14ac:dyDescent="0.25">
      <c r="A34" s="10" t="s">
        <v>150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</row>
    <row r="35" spans="1:14" x14ac:dyDescent="0.25">
      <c r="A35" s="10" t="s">
        <v>152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</row>
    <row r="36" spans="1:14" x14ac:dyDescent="0.25">
      <c r="A36" s="10" t="s">
        <v>154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</row>
    <row r="37" spans="1:14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</row>
    <row r="38" spans="1:14" x14ac:dyDescent="0.25">
      <c r="A38" s="10" t="s">
        <v>158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</row>
    <row r="39" spans="1:14" x14ac:dyDescent="0.25">
      <c r="A39" s="10" t="s">
        <v>160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</row>
    <row r="40" spans="1:14" x14ac:dyDescent="0.25">
      <c r="A40" s="10" t="s">
        <v>162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</row>
    <row r="41" spans="1:14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</row>
    <row r="42" spans="1:14" x14ac:dyDescent="0.25">
      <c r="A42" s="10" t="s">
        <v>166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</row>
    <row r="43" spans="1:14" x14ac:dyDescent="0.25">
      <c r="A43" s="10" t="s">
        <v>168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</row>
    <row r="44" spans="1:14" x14ac:dyDescent="0.25">
      <c r="A44" s="10" t="s">
        <v>170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</row>
    <row r="45" spans="1:14" x14ac:dyDescent="0.25">
      <c r="A45" s="10" t="s">
        <v>172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</row>
    <row r="46" spans="1:14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</row>
    <row r="47" spans="1:14" x14ac:dyDescent="0.25">
      <c r="A47" s="10" t="s">
        <v>176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</row>
    <row r="48" spans="1:14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</row>
    <row r="49" spans="1:14" x14ac:dyDescent="0.25">
      <c r="A49" s="10" t="s">
        <v>180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</row>
    <row r="50" spans="1:14" x14ac:dyDescent="0.25">
      <c r="A50" s="10" t="s">
        <v>182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</row>
    <row r="51" spans="1:14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</row>
    <row r="52" spans="1:14" x14ac:dyDescent="0.25">
      <c r="A52" s="10" t="s">
        <v>186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</row>
    <row r="53" spans="1:14" x14ac:dyDescent="0.25">
      <c r="A53" s="10" t="s">
        <v>188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</row>
    <row r="54" spans="1:14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</row>
    <row r="55" spans="1:14" x14ac:dyDescent="0.25">
      <c r="A55" s="10" t="s">
        <v>192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</row>
    <row r="56" spans="1:14" x14ac:dyDescent="0.25">
      <c r="A56" s="10" t="s">
        <v>194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</row>
    <row r="57" spans="1:14" x14ac:dyDescent="0.25">
      <c r="A57" s="10" t="s">
        <v>196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</row>
    <row r="58" spans="1:14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</row>
    <row r="59" spans="1:14" x14ac:dyDescent="0.25">
      <c r="A59" s="10" t="s">
        <v>200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</row>
    <row r="60" spans="1:14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</row>
    <row r="61" spans="1:14" x14ac:dyDescent="0.25">
      <c r="A61" s="10" t="s">
        <v>204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</row>
    <row r="62" spans="1:14" x14ac:dyDescent="0.25">
      <c r="A62" s="10" t="s">
        <v>206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</row>
    <row r="63" spans="1:14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5">
      <c r="A65" s="10" t="s">
        <v>212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5">
      <c r="A66" s="10" t="s">
        <v>214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5">
      <c r="A67" s="10" t="s">
        <v>216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5">
      <c r="A70" s="10" t="s">
        <v>222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5">
      <c r="A72" s="10" t="s">
        <v>226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</row>
    <row r="75" spans="1:14" x14ac:dyDescent="0.25">
      <c r="A75" s="10" t="s">
        <v>232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>
        <v>0</v>
      </c>
    </row>
    <row r="76" spans="1:14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5">
      <c r="A77" s="10" t="s">
        <v>236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</row>
    <row r="78" spans="1:14" x14ac:dyDescent="0.25">
      <c r="A78" s="10" t="s">
        <v>238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</row>
    <row r="79" spans="1:14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</row>
    <row r="80" spans="1:14" x14ac:dyDescent="0.25">
      <c r="A80" s="10" t="s">
        <v>242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</row>
    <row r="81" spans="1:14" x14ac:dyDescent="0.25">
      <c r="A81" s="10" t="s">
        <v>244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</row>
    <row r="82" spans="1:14" x14ac:dyDescent="0.25">
      <c r="A82" s="10" t="s">
        <v>246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</row>
    <row r="83" spans="1:14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>
        <v>0</v>
      </c>
    </row>
    <row r="84" spans="1:14" x14ac:dyDescent="0.25">
      <c r="A84" s="10" t="s">
        <v>250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</row>
    <row r="85" spans="1:14" x14ac:dyDescent="0.25">
      <c r="A85" s="10" t="s">
        <v>252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</row>
    <row r="86" spans="1:14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5">
      <c r="A87" s="10" t="s">
        <v>256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  <c r="N87" s="15">
        <v>0</v>
      </c>
    </row>
    <row r="88" spans="1:14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</row>
    <row r="89" spans="1:14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>
        <v>0</v>
      </c>
    </row>
    <row r="90" spans="1:14" x14ac:dyDescent="0.25">
      <c r="A90" s="10" t="s">
        <v>262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</row>
    <row r="91" spans="1:14" x14ac:dyDescent="0.25">
      <c r="A91" s="10" t="s">
        <v>264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  <c r="N91" s="15">
        <v>0</v>
      </c>
    </row>
    <row r="92" spans="1:14" x14ac:dyDescent="0.25">
      <c r="A92" s="10" t="s">
        <v>266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</row>
    <row r="93" spans="1:14" x14ac:dyDescent="0.25">
      <c r="A93" s="10" t="s">
        <v>268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</row>
    <row r="94" spans="1:14" x14ac:dyDescent="0.25">
      <c r="A94" s="10" t="s">
        <v>270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</row>
    <row r="95" spans="1:14" x14ac:dyDescent="0.25">
      <c r="A95" s="10" t="s">
        <v>272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0</v>
      </c>
    </row>
    <row r="96" spans="1:14" x14ac:dyDescent="0.25">
      <c r="A96" s="10" t="s">
        <v>274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</row>
    <row r="97" spans="1:14" x14ac:dyDescent="0.25">
      <c r="A97" s="10" t="s">
        <v>276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</row>
    <row r="98" spans="1:14" x14ac:dyDescent="0.25">
      <c r="A98" s="10" t="s">
        <v>278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</row>
    <row r="99" spans="1:14" x14ac:dyDescent="0.25">
      <c r="A99" s="10" t="s">
        <v>280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>
        <v>0</v>
      </c>
    </row>
    <row r="100" spans="1:14" x14ac:dyDescent="0.25">
      <c r="A100" s="10" t="s">
        <v>282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</row>
    <row r="101" spans="1:14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</row>
    <row r="102" spans="1:14" x14ac:dyDescent="0.25">
      <c r="A102" s="10" t="s">
        <v>286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</row>
    <row r="103" spans="1:14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</row>
    <row r="104" spans="1:14" x14ac:dyDescent="0.25">
      <c r="A104" s="10" t="s">
        <v>290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</row>
    <row r="105" spans="1:14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</row>
    <row r="106" spans="1:14" x14ac:dyDescent="0.25">
      <c r="A106" s="10" t="s">
        <v>294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</row>
    <row r="107" spans="1:14" x14ac:dyDescent="0.25">
      <c r="A107" s="10" t="s">
        <v>296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</row>
    <row r="108" spans="1:14" x14ac:dyDescent="0.25">
      <c r="A108" s="10" t="s">
        <v>298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</row>
    <row r="109" spans="1:14" x14ac:dyDescent="0.25">
      <c r="A109" s="10" t="s">
        <v>300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</row>
    <row r="110" spans="1:14" x14ac:dyDescent="0.25">
      <c r="A110" s="10" t="s">
        <v>302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</row>
    <row r="111" spans="1:14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</row>
    <row r="112" spans="1:14" x14ac:dyDescent="0.25">
      <c r="A112" s="10" t="s">
        <v>306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</row>
    <row r="113" spans="1:14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</row>
    <row r="114" spans="1:14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</row>
    <row r="115" spans="1:14" x14ac:dyDescent="0.25">
      <c r="A115" s="10" t="s">
        <v>312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</row>
    <row r="116" spans="1:14" x14ac:dyDescent="0.25">
      <c r="A116" s="10" t="s">
        <v>314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</row>
    <row r="117" spans="1:14" x14ac:dyDescent="0.25">
      <c r="A117" s="10" t="s">
        <v>316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</row>
    <row r="118" spans="1:14" x14ac:dyDescent="0.25">
      <c r="A118" s="10" t="s">
        <v>318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</row>
    <row r="119" spans="1:14" x14ac:dyDescent="0.25">
      <c r="A119" s="10" t="s">
        <v>320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</row>
    <row r="120" spans="1:14" x14ac:dyDescent="0.25">
      <c r="A120" s="10" t="s">
        <v>322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</row>
    <row r="121" spans="1:14" x14ac:dyDescent="0.25">
      <c r="A121" s="10" t="s">
        <v>324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>
        <v>0</v>
      </c>
    </row>
    <row r="122" spans="1:14" x14ac:dyDescent="0.25">
      <c r="A122" s="10" t="s">
        <v>326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</row>
    <row r="123" spans="1:14" x14ac:dyDescent="0.25">
      <c r="A123" s="10" t="s">
        <v>328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</row>
    <row r="124" spans="1:14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</row>
    <row r="125" spans="1:14" x14ac:dyDescent="0.25">
      <c r="A125" s="10" t="s">
        <v>332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5">
      <c r="A126" s="10" t="s">
        <v>334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</row>
    <row r="127" spans="1:14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</row>
    <row r="128" spans="1:14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</row>
    <row r="129" spans="1:14" x14ac:dyDescent="0.25">
      <c r="A129" s="10" t="s">
        <v>340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</row>
    <row r="130" spans="1:14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</row>
    <row r="131" spans="1:14" x14ac:dyDescent="0.25">
      <c r="A131" s="10" t="s">
        <v>344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</row>
    <row r="132" spans="1:14" x14ac:dyDescent="0.25">
      <c r="A132" s="10" t="s">
        <v>346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</row>
    <row r="133" spans="1:14" x14ac:dyDescent="0.25">
      <c r="A133" s="10" t="s">
        <v>348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  <c r="N133" s="15">
        <v>0</v>
      </c>
    </row>
    <row r="134" spans="1:14" x14ac:dyDescent="0.25">
      <c r="A134" s="10" t="s">
        <v>350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</row>
    <row r="135" spans="1:14" x14ac:dyDescent="0.25">
      <c r="A135" s="10" t="s">
        <v>352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5">
        <v>0</v>
      </c>
    </row>
    <row r="136" spans="1:14" x14ac:dyDescent="0.25">
      <c r="A136" s="10" t="s">
        <v>354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</row>
    <row r="137" spans="1:14" x14ac:dyDescent="0.25">
      <c r="A137" s="10" t="s">
        <v>356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  <c r="N137" s="15">
        <v>0</v>
      </c>
    </row>
    <row r="138" spans="1:14" x14ac:dyDescent="0.25">
      <c r="A138" s="10" t="s">
        <v>358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</row>
    <row r="139" spans="1:14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>
        <v>0</v>
      </c>
    </row>
    <row r="140" spans="1:14" x14ac:dyDescent="0.25">
      <c r="A140" s="10" t="s">
        <v>362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</row>
    <row r="141" spans="1:14" x14ac:dyDescent="0.25">
      <c r="A141" s="10" t="s">
        <v>364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>
        <v>0</v>
      </c>
    </row>
    <row r="142" spans="1:14" x14ac:dyDescent="0.25">
      <c r="A142" s="10" t="s">
        <v>366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</row>
    <row r="143" spans="1:14" x14ac:dyDescent="0.25">
      <c r="A143" s="10" t="s">
        <v>368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</row>
    <row r="144" spans="1:14" x14ac:dyDescent="0.25">
      <c r="A144" s="10" t="s">
        <v>370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</row>
    <row r="145" spans="1:14" x14ac:dyDescent="0.25">
      <c r="A145" s="10" t="s">
        <v>372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>
        <v>0</v>
      </c>
    </row>
    <row r="146" spans="1:14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</row>
    <row r="147" spans="1:14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  <c r="N147" s="15">
        <v>0</v>
      </c>
    </row>
    <row r="148" spans="1:14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</row>
    <row r="149" spans="1:14" x14ac:dyDescent="0.25">
      <c r="A149" s="10" t="s">
        <v>380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</row>
    <row r="150" spans="1:14" x14ac:dyDescent="0.25">
      <c r="A150" s="10" t="s">
        <v>382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</row>
    <row r="151" spans="1:14" x14ac:dyDescent="0.25">
      <c r="A151" s="10" t="s">
        <v>384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</row>
    <row r="152" spans="1:14" x14ac:dyDescent="0.25">
      <c r="A152" s="10" t="s">
        <v>386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</row>
    <row r="153" spans="1:14" x14ac:dyDescent="0.25">
      <c r="A153" s="10" t="s">
        <v>388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  <c r="N153" s="15">
        <v>0</v>
      </c>
    </row>
    <row r="154" spans="1:14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</row>
    <row r="155" spans="1:14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  <c r="N155" s="15">
        <v>0</v>
      </c>
    </row>
    <row r="156" spans="1:14" x14ac:dyDescent="0.25">
      <c r="A156" s="10" t="s">
        <v>394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</row>
    <row r="157" spans="1:14" x14ac:dyDescent="0.25">
      <c r="A157" s="10" t="s">
        <v>396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  <c r="N157" s="15">
        <v>0</v>
      </c>
    </row>
    <row r="158" spans="1:14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</row>
    <row r="159" spans="1:14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</row>
    <row r="160" spans="1:14" x14ac:dyDescent="0.25">
      <c r="A160" s="10" t="s">
        <v>402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</row>
    <row r="161" spans="1:14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</row>
    <row r="162" spans="1:14" x14ac:dyDescent="0.25">
      <c r="A162" s="10" t="s">
        <v>406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</row>
    <row r="163" spans="1:14" x14ac:dyDescent="0.25">
      <c r="A163" s="10" t="s">
        <v>408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</row>
    <row r="164" spans="1:14" x14ac:dyDescent="0.25">
      <c r="A164" s="10" t="s">
        <v>410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</row>
    <row r="165" spans="1:14" x14ac:dyDescent="0.25">
      <c r="A165" s="10" t="s">
        <v>412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  <c r="N165" s="15">
        <v>0</v>
      </c>
    </row>
    <row r="166" spans="1:14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</row>
    <row r="167" spans="1:14" x14ac:dyDescent="0.25">
      <c r="A167" s="10" t="s">
        <v>416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>
        <v>0</v>
      </c>
    </row>
    <row r="168" spans="1:14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</row>
    <row r="169" spans="1:14" x14ac:dyDescent="0.25">
      <c r="A169" s="10" t="s">
        <v>420</v>
      </c>
      <c r="B169" s="15">
        <v>0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  <c r="N169" s="15">
        <v>0</v>
      </c>
    </row>
    <row r="170" spans="1:14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</row>
    <row r="171" spans="1:14" x14ac:dyDescent="0.25">
      <c r="A171" s="10" t="s">
        <v>424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>
        <v>0</v>
      </c>
    </row>
    <row r="172" spans="1:14" x14ac:dyDescent="0.25">
      <c r="A172" s="10" t="s">
        <v>426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</row>
    <row r="173" spans="1:14" x14ac:dyDescent="0.25">
      <c r="A173" s="10" t="s">
        <v>428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  <c r="N173" s="15">
        <v>0</v>
      </c>
    </row>
    <row r="174" spans="1:14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</row>
    <row r="175" spans="1:14" x14ac:dyDescent="0.25">
      <c r="A175" s="10" t="s">
        <v>432</v>
      </c>
      <c r="B175" s="15">
        <v>0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</row>
    <row r="176" spans="1:14" x14ac:dyDescent="0.25">
      <c r="A176" s="10" t="s">
        <v>434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</row>
    <row r="177" spans="1:14" x14ac:dyDescent="0.25">
      <c r="A177" s="10" t="s">
        <v>436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  <c r="N177" s="15">
        <v>0</v>
      </c>
    </row>
    <row r="178" spans="1:14" x14ac:dyDescent="0.25">
      <c r="A178" s="10" t="s">
        <v>438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</row>
    <row r="179" spans="1:14" x14ac:dyDescent="0.25">
      <c r="A179" s="10" t="s">
        <v>440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  <c r="N179" s="15">
        <v>0</v>
      </c>
    </row>
    <row r="180" spans="1:14" x14ac:dyDescent="0.25">
      <c r="A180" s="10" t="s">
        <v>442</v>
      </c>
      <c r="B180" s="15">
        <v>0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</row>
    <row r="181" spans="1:14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  <c r="N181" s="15">
        <v>0</v>
      </c>
    </row>
    <row r="182" spans="1:14" x14ac:dyDescent="0.25">
      <c r="A182" s="10" t="s">
        <v>446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</row>
    <row r="183" spans="1:14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  <c r="N183" s="15">
        <v>0</v>
      </c>
    </row>
    <row r="184" spans="1:14" x14ac:dyDescent="0.25">
      <c r="A184" s="10" t="s">
        <v>450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</row>
    <row r="185" spans="1:14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</row>
    <row r="186" spans="1:14" x14ac:dyDescent="0.25">
      <c r="A186" s="10" t="s">
        <v>454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</row>
    <row r="187" spans="1:14" x14ac:dyDescent="0.25">
      <c r="A187" s="10" t="s">
        <v>456</v>
      </c>
      <c r="B187" s="15">
        <v>0</v>
      </c>
      <c r="C187" s="15">
        <v>0</v>
      </c>
      <c r="D187" s="15">
        <v>0</v>
      </c>
      <c r="E187" s="15">
        <v>0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  <c r="N187" s="15">
        <v>0</v>
      </c>
    </row>
    <row r="188" spans="1:14" x14ac:dyDescent="0.25">
      <c r="A188" s="10" t="s">
        <v>458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</row>
    <row r="189" spans="1:14" x14ac:dyDescent="0.25">
      <c r="A189" s="10" t="s">
        <v>460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  <c r="N189" s="15">
        <v>0</v>
      </c>
    </row>
    <row r="190" spans="1:14" x14ac:dyDescent="0.25">
      <c r="A190" s="10" t="s">
        <v>462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</row>
    <row r="191" spans="1:14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  <c r="N191" s="15">
        <v>0</v>
      </c>
    </row>
    <row r="192" spans="1:14" x14ac:dyDescent="0.25">
      <c r="A192" s="10" t="s">
        <v>466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</row>
    <row r="193" spans="1:14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>
        <v>0</v>
      </c>
    </row>
    <row r="194" spans="1:14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</row>
    <row r="195" spans="1:14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  <c r="N195" s="15">
        <v>0</v>
      </c>
    </row>
    <row r="196" spans="1:14" x14ac:dyDescent="0.25">
      <c r="A196" s="10" t="s">
        <v>474</v>
      </c>
      <c r="B196" s="15">
        <v>0</v>
      </c>
      <c r="C196" s="15">
        <v>0</v>
      </c>
      <c r="D196" s="15">
        <v>0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</row>
    <row r="197" spans="1:14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0</v>
      </c>
      <c r="N197" s="15">
        <v>0</v>
      </c>
    </row>
    <row r="198" spans="1:14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</row>
    <row r="199" spans="1:14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  <c r="N199" s="15">
        <v>0</v>
      </c>
    </row>
    <row r="200" spans="1:14" x14ac:dyDescent="0.25">
      <c r="A200" s="10" t="s">
        <v>482</v>
      </c>
      <c r="B200" s="15">
        <v>0</v>
      </c>
      <c r="C200" s="15">
        <v>0</v>
      </c>
      <c r="D200" s="15">
        <v>0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</row>
    <row r="201" spans="1:14" x14ac:dyDescent="0.25">
      <c r="A201" s="10" t="s">
        <v>484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  <c r="N201" s="15">
        <v>0</v>
      </c>
    </row>
    <row r="202" spans="1:14" x14ac:dyDescent="0.25">
      <c r="A202" s="10" t="s">
        <v>486</v>
      </c>
      <c r="B202" s="15">
        <v>0</v>
      </c>
      <c r="C202" s="15">
        <v>0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</row>
    <row r="203" spans="1:14" x14ac:dyDescent="0.25">
      <c r="A203" s="10" t="s">
        <v>488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0</v>
      </c>
    </row>
    <row r="204" spans="1:14" x14ac:dyDescent="0.25">
      <c r="A204" s="10" t="s">
        <v>490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</row>
    <row r="205" spans="1:14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  <c r="N205" s="15">
        <v>0</v>
      </c>
    </row>
    <row r="206" spans="1:14" x14ac:dyDescent="0.25">
      <c r="A206" s="10" t="s">
        <v>494</v>
      </c>
      <c r="B206" s="15">
        <v>0</v>
      </c>
      <c r="C206" s="15">
        <v>0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</row>
    <row r="207" spans="1:14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  <c r="N207" s="15">
        <v>0</v>
      </c>
    </row>
    <row r="208" spans="1:14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</row>
    <row r="209" spans="1:14" x14ac:dyDescent="0.25">
      <c r="A209" s="10" t="s">
        <v>500</v>
      </c>
      <c r="B209" s="15">
        <v>0</v>
      </c>
      <c r="C209" s="15">
        <v>0</v>
      </c>
      <c r="D209" s="15">
        <v>0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  <c r="N209" s="15">
        <v>0</v>
      </c>
    </row>
    <row r="210" spans="1:14" x14ac:dyDescent="0.25">
      <c r="A210" s="10" t="s">
        <v>502</v>
      </c>
      <c r="B210" s="15">
        <v>0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</row>
    <row r="211" spans="1:14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0</v>
      </c>
      <c r="J211" s="15">
        <v>0</v>
      </c>
      <c r="K211" s="15">
        <v>0</v>
      </c>
      <c r="L211" s="15">
        <v>0</v>
      </c>
      <c r="M211" s="15">
        <v>0</v>
      </c>
      <c r="N211" s="15">
        <v>0</v>
      </c>
    </row>
    <row r="212" spans="1:14" x14ac:dyDescent="0.25">
      <c r="A212" s="10" t="s">
        <v>506</v>
      </c>
      <c r="B212" s="15">
        <v>0</v>
      </c>
      <c r="C212" s="15">
        <v>0</v>
      </c>
      <c r="D212" s="15">
        <v>0</v>
      </c>
      <c r="E212" s="15">
        <v>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</row>
    <row r="213" spans="1:14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  <c r="N213" s="15">
        <v>0</v>
      </c>
    </row>
    <row r="214" spans="1:14" x14ac:dyDescent="0.25">
      <c r="A214" s="10" t="s">
        <v>510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</row>
    <row r="215" spans="1:14" x14ac:dyDescent="0.25">
      <c r="A215" s="10" t="s">
        <v>512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0"/>
  <dimension ref="A1:N215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178013,1</v>
      </c>
      <c r="C2" s="14" t="str">
        <f>CONCATENATE("FEVEREIRO",CHAR(10),"TOTAL: ",ROUND(SUM(C3:C1048576),2))</f>
        <v>FEVEREIRO
TOTAL: 185083,89</v>
      </c>
      <c r="D2" s="14" t="str">
        <f>CONCATENATE("MARÇO",CHAR(10),"TOTAL: ",ROUND(SUM(D3:D1048576),2))</f>
        <v>MARÇO
TOTAL: 517448,35</v>
      </c>
      <c r="E2" s="14" t="str">
        <f>CONCATENATE("ABRIL",CHAR(10),"TOTAL: ",ROUND(SUM(E3:E1048576),2))</f>
        <v>ABRIL
TOTAL: 189671,4</v>
      </c>
      <c r="F2" s="14" t="str">
        <f>CONCATENATE("MAIO",CHAR(10),"TOTAL: ",ROUND(SUM(F3:F1048576),2))</f>
        <v>MAIO
TOTAL: 197212,31</v>
      </c>
      <c r="G2" s="14" t="str">
        <f>CONCATENATE("JUNHO",CHAR(10),"TOTAL: ",ROUND(SUM(G3:G1048576),2))</f>
        <v>JUNHO
TOTAL: 208548,44</v>
      </c>
      <c r="H2" s="14" t="str">
        <f>CONCATENATE("JULHO",CHAR(10),"TOTAL: ",ROUND(SUM(H3:H1048576),2))</f>
        <v>JULHO
TOTAL: 214662,04</v>
      </c>
      <c r="I2" s="14" t="str">
        <f>CONCATENATE("AGOSTO",CHAR(10),"TOTAL: ",ROUND(SUM(I3:I1048576),2))</f>
        <v>AGOSTO
TOTAL: 214226,18</v>
      </c>
      <c r="J2" s="14" t="str">
        <f>CONCATENATE("SETEMBRO",CHAR(10),"TOTAL: ",ROUND(SUM(J3:J1048576),2))</f>
        <v>SETEMBRO
TOTAL: 252207,5</v>
      </c>
      <c r="K2" s="14" t="str">
        <f>CONCATENATE("OUTUBRO",CHAR(10),"TOTAL: ",ROUND(SUM(K3:K1048576),2))</f>
        <v>OUTUBRO
TOTAL: 235067,54</v>
      </c>
      <c r="L2" s="14" t="str">
        <f>CONCATENATE("NOVEMBRO",CHAR(10),"TOTAL: ",ROUND(SUM(L3:L1048576),2))</f>
        <v>NOVEMBRO
TOTAL: 236735,88</v>
      </c>
      <c r="M2" s="14" t="str">
        <f>CONCATENATE("DEZEMBRO",CHAR(10),"TOTAL: ",ROUND(SUM(M3:M1048576),2))</f>
        <v>DEZEMBRO
TOTAL: 245583,69</v>
      </c>
      <c r="N2" s="14" t="str">
        <f>CONCATENATE("DEC. TERCEIRO",CHAR(10),"TOTAL: ",ROUND(SUM(N3:N1048576),2))</f>
        <v>DEC. TERCEIRO
TOTAL: 214264,32</v>
      </c>
    </row>
    <row r="3" spans="1:14" x14ac:dyDescent="0.25">
      <c r="A3" s="10" t="s">
        <v>88</v>
      </c>
      <c r="B3" s="15">
        <v>237.14</v>
      </c>
      <c r="C3" s="15">
        <v>237.14</v>
      </c>
      <c r="D3" s="15">
        <v>237.14</v>
      </c>
      <c r="E3" s="15">
        <v>237.14</v>
      </c>
      <c r="F3" s="15">
        <v>237.14</v>
      </c>
      <c r="G3" s="15">
        <v>237.14</v>
      </c>
      <c r="H3" s="15">
        <v>237.14</v>
      </c>
      <c r="I3" s="15">
        <v>237.14</v>
      </c>
      <c r="J3" s="15">
        <v>376.89</v>
      </c>
      <c r="K3" s="15">
        <v>304.67</v>
      </c>
      <c r="L3" s="15">
        <v>304.67</v>
      </c>
      <c r="M3" s="15">
        <v>495.97</v>
      </c>
      <c r="N3" s="15">
        <v>304.67</v>
      </c>
    </row>
    <row r="4" spans="1:14" x14ac:dyDescent="0.25">
      <c r="A4" s="10" t="s">
        <v>90</v>
      </c>
      <c r="B4" s="15">
        <v>738.37</v>
      </c>
      <c r="C4" s="15">
        <v>738.37</v>
      </c>
      <c r="D4" s="15">
        <v>738.37</v>
      </c>
      <c r="E4" s="15">
        <v>738.37</v>
      </c>
      <c r="F4" s="15">
        <v>738.37</v>
      </c>
      <c r="G4" s="15">
        <v>738.37</v>
      </c>
      <c r="H4" s="15">
        <v>738.37</v>
      </c>
      <c r="I4" s="15">
        <v>738.37</v>
      </c>
      <c r="J4" s="15">
        <v>786.46</v>
      </c>
      <c r="K4" s="15">
        <v>652.53</v>
      </c>
      <c r="L4" s="15">
        <v>652.53</v>
      </c>
      <c r="M4" s="15">
        <v>676.57</v>
      </c>
      <c r="N4" s="15">
        <v>652.53</v>
      </c>
    </row>
    <row r="5" spans="1:14" x14ac:dyDescent="0.25">
      <c r="A5" s="10" t="s">
        <v>92</v>
      </c>
      <c r="B5" s="15">
        <v>0</v>
      </c>
      <c r="C5" s="15">
        <v>0</v>
      </c>
      <c r="D5" s="15">
        <v>27.82</v>
      </c>
      <c r="E5" s="15">
        <v>27.82</v>
      </c>
      <c r="F5" s="15">
        <v>27.82</v>
      </c>
      <c r="G5" s="15">
        <v>0</v>
      </c>
      <c r="H5" s="15">
        <v>0</v>
      </c>
      <c r="I5" s="15">
        <v>0</v>
      </c>
      <c r="J5" s="15">
        <v>0</v>
      </c>
      <c r="K5" s="15">
        <v>31.21</v>
      </c>
      <c r="L5" s="15">
        <v>31.21</v>
      </c>
      <c r="M5" s="15">
        <v>31.21</v>
      </c>
      <c r="N5" s="15">
        <v>0</v>
      </c>
    </row>
    <row r="6" spans="1:14" x14ac:dyDescent="0.25">
      <c r="A6" s="10" t="s">
        <v>94</v>
      </c>
      <c r="B6" s="15">
        <v>84.01</v>
      </c>
      <c r="C6" s="15">
        <v>84.01</v>
      </c>
      <c r="D6" s="15">
        <v>84.01</v>
      </c>
      <c r="E6" s="15">
        <v>84.01</v>
      </c>
      <c r="F6" s="15">
        <v>84.01</v>
      </c>
      <c r="G6" s="15">
        <v>84.01</v>
      </c>
      <c r="H6" s="15">
        <v>84.01</v>
      </c>
      <c r="I6" s="15">
        <v>84.01</v>
      </c>
      <c r="J6" s="15">
        <v>150.63999999999999</v>
      </c>
      <c r="K6" s="15">
        <v>117.32</v>
      </c>
      <c r="L6" s="15">
        <v>117.32</v>
      </c>
      <c r="M6" s="15">
        <v>117.32</v>
      </c>
      <c r="N6" s="15">
        <v>117.32</v>
      </c>
    </row>
    <row r="7" spans="1:14" x14ac:dyDescent="0.25">
      <c r="A7" s="10" t="s">
        <v>96</v>
      </c>
      <c r="B7" s="15">
        <v>316.77</v>
      </c>
      <c r="C7" s="15">
        <v>326.02999999999997</v>
      </c>
      <c r="D7" s="15">
        <v>326.02999999999997</v>
      </c>
      <c r="E7" s="15">
        <v>326.02999999999997</v>
      </c>
      <c r="F7" s="15">
        <v>326.02999999999997</v>
      </c>
      <c r="G7" s="15">
        <v>326.02999999999997</v>
      </c>
      <c r="H7" s="15">
        <v>326.02999999999997</v>
      </c>
      <c r="I7" s="15">
        <v>814.52</v>
      </c>
      <c r="J7" s="15">
        <v>424.85</v>
      </c>
      <c r="K7" s="15">
        <v>424.85</v>
      </c>
      <c r="L7" s="15">
        <v>424.85</v>
      </c>
      <c r="M7" s="15">
        <v>374.39</v>
      </c>
      <c r="N7" s="15">
        <v>424.85</v>
      </c>
    </row>
    <row r="8" spans="1:14" x14ac:dyDescent="0.25">
      <c r="A8" s="10" t="s">
        <v>98</v>
      </c>
      <c r="B8" s="15">
        <v>148.63999999999999</v>
      </c>
      <c r="C8" s="15">
        <v>148.63999999999999</v>
      </c>
      <c r="D8" s="15">
        <v>148.63999999999999</v>
      </c>
      <c r="E8" s="15">
        <v>148.63999999999999</v>
      </c>
      <c r="F8" s="15">
        <v>148.63999999999999</v>
      </c>
      <c r="G8" s="15">
        <v>148.63999999999999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7.33</v>
      </c>
    </row>
    <row r="9" spans="1:14" x14ac:dyDescent="0.25">
      <c r="A9" s="10" t="s">
        <v>100</v>
      </c>
      <c r="B9" s="15">
        <v>457.64</v>
      </c>
      <c r="C9" s="15">
        <v>457.64</v>
      </c>
      <c r="D9" s="15">
        <v>457.64</v>
      </c>
      <c r="E9" s="15">
        <v>457.64</v>
      </c>
      <c r="F9" s="15">
        <v>457.64</v>
      </c>
      <c r="G9" s="15">
        <v>457.64</v>
      </c>
      <c r="H9" s="15">
        <v>457.64</v>
      </c>
      <c r="I9" s="15">
        <v>1041.1500000000001</v>
      </c>
      <c r="J9" s="15">
        <v>619.5</v>
      </c>
      <c r="K9" s="15">
        <v>619.5</v>
      </c>
      <c r="L9" s="15">
        <v>1370.07</v>
      </c>
      <c r="M9" s="15">
        <v>0</v>
      </c>
      <c r="N9" s="15">
        <v>619.5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0</v>
      </c>
      <c r="F10" s="15">
        <v>14.79</v>
      </c>
      <c r="G10" s="15">
        <v>14.79</v>
      </c>
      <c r="H10" s="15">
        <v>14.79</v>
      </c>
      <c r="I10" s="15">
        <v>14.79</v>
      </c>
      <c r="J10" s="15">
        <v>26.2</v>
      </c>
      <c r="K10" s="15">
        <v>20.49</v>
      </c>
      <c r="L10" s="15">
        <v>20.49</v>
      </c>
      <c r="M10" s="15">
        <v>20.49</v>
      </c>
      <c r="N10" s="15">
        <v>0</v>
      </c>
    </row>
    <row r="11" spans="1:14" x14ac:dyDescent="0.25">
      <c r="A11" s="10" t="s">
        <v>104</v>
      </c>
      <c r="B11" s="15">
        <v>2904.96</v>
      </c>
      <c r="C11" s="15">
        <v>993.16</v>
      </c>
      <c r="D11" s="15">
        <v>993.16</v>
      </c>
      <c r="E11" s="15">
        <v>993.16</v>
      </c>
      <c r="F11" s="15">
        <v>993.16</v>
      </c>
      <c r="G11" s="15">
        <v>1761.93</v>
      </c>
      <c r="H11" s="15">
        <v>45.89</v>
      </c>
      <c r="I11" s="15">
        <v>993.16</v>
      </c>
      <c r="J11" s="15">
        <v>1339.59</v>
      </c>
      <c r="K11" s="15">
        <v>1166.3699999999999</v>
      </c>
      <c r="L11" s="15">
        <v>1166.3699999999999</v>
      </c>
      <c r="M11" s="15">
        <v>1166.3699999999999</v>
      </c>
      <c r="N11" s="15">
        <v>1166.3699999999999</v>
      </c>
    </row>
    <row r="12" spans="1:14" x14ac:dyDescent="0.25">
      <c r="A12" s="10" t="s">
        <v>106</v>
      </c>
      <c r="B12" s="15">
        <v>1274.42</v>
      </c>
      <c r="C12" s="15">
        <v>1274.42</v>
      </c>
      <c r="D12" s="15">
        <v>2293.19</v>
      </c>
      <c r="E12" s="15">
        <v>68.91</v>
      </c>
      <c r="F12" s="15">
        <v>1274.42</v>
      </c>
      <c r="G12" s="15">
        <v>1274.42</v>
      </c>
      <c r="H12" s="15">
        <v>1274.42</v>
      </c>
      <c r="I12" s="15">
        <v>1274.42</v>
      </c>
      <c r="J12" s="15">
        <v>1668.66</v>
      </c>
      <c r="K12" s="15">
        <v>1471.54</v>
      </c>
      <c r="L12" s="15">
        <v>1471.54</v>
      </c>
      <c r="M12" s="15">
        <v>1471.54</v>
      </c>
      <c r="N12" s="15">
        <v>1471.54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16.440000000000001</v>
      </c>
      <c r="F13" s="15">
        <v>112.45</v>
      </c>
      <c r="G13" s="15">
        <v>112.45</v>
      </c>
      <c r="H13" s="15">
        <v>112.45</v>
      </c>
      <c r="I13" s="15">
        <v>112.45</v>
      </c>
      <c r="J13" s="15">
        <v>139.08000000000001</v>
      </c>
      <c r="K13" s="15">
        <v>125.76</v>
      </c>
      <c r="L13" s="15">
        <v>125.76</v>
      </c>
      <c r="M13" s="15">
        <v>125.76</v>
      </c>
      <c r="N13" s="15">
        <v>37.409999999999997</v>
      </c>
    </row>
    <row r="14" spans="1:14" x14ac:dyDescent="0.25">
      <c r="A14" s="10" t="s">
        <v>110</v>
      </c>
      <c r="B14" s="15">
        <v>1604.59</v>
      </c>
      <c r="C14" s="15">
        <v>1755.47</v>
      </c>
      <c r="D14" s="15">
        <v>1755.47</v>
      </c>
      <c r="E14" s="15">
        <v>1755.47</v>
      </c>
      <c r="F14" s="15">
        <v>1755.47</v>
      </c>
      <c r="G14" s="15">
        <v>1755.47</v>
      </c>
      <c r="H14" s="15">
        <v>1755.47</v>
      </c>
      <c r="I14" s="15">
        <v>1755.47</v>
      </c>
      <c r="J14" s="15">
        <v>2232.0700000000002</v>
      </c>
      <c r="K14" s="15">
        <v>1993.77</v>
      </c>
      <c r="L14" s="15">
        <v>5314.95</v>
      </c>
      <c r="M14" s="15">
        <v>1993.77</v>
      </c>
      <c r="N14" s="15">
        <v>1993.77</v>
      </c>
    </row>
    <row r="15" spans="1:14" x14ac:dyDescent="0.25">
      <c r="A15" s="10" t="s">
        <v>112</v>
      </c>
      <c r="B15" s="15">
        <v>1183.8499999999999</v>
      </c>
      <c r="C15" s="15">
        <v>2548.64</v>
      </c>
      <c r="D15" s="15">
        <v>7279.19</v>
      </c>
      <c r="E15" s="15">
        <v>2548.64</v>
      </c>
      <c r="F15" s="15">
        <v>2548.64</v>
      </c>
      <c r="G15" s="15">
        <v>2548.64</v>
      </c>
      <c r="H15" s="15">
        <v>2548.64</v>
      </c>
      <c r="I15" s="15">
        <v>2548.64</v>
      </c>
      <c r="J15" s="15">
        <v>3160.68</v>
      </c>
      <c r="K15" s="15">
        <v>2854.66</v>
      </c>
      <c r="L15" s="15">
        <v>2854.66</v>
      </c>
      <c r="M15" s="15">
        <v>2854.66</v>
      </c>
      <c r="N15" s="15">
        <v>2854.66</v>
      </c>
    </row>
    <row r="16" spans="1:14" x14ac:dyDescent="0.25">
      <c r="A16" s="10" t="s">
        <v>114</v>
      </c>
      <c r="B16" s="15">
        <v>1723.64</v>
      </c>
      <c r="C16" s="15">
        <v>1723.64</v>
      </c>
      <c r="D16" s="15">
        <v>5389.94</v>
      </c>
      <c r="E16" s="15">
        <v>1723.64</v>
      </c>
      <c r="F16" s="15">
        <v>1751.14</v>
      </c>
      <c r="G16" s="15">
        <v>1751.14</v>
      </c>
      <c r="H16" s="15">
        <v>1751.14</v>
      </c>
      <c r="I16" s="15">
        <v>2843.26</v>
      </c>
      <c r="J16" s="15">
        <v>2024.17</v>
      </c>
      <c r="K16" s="15">
        <v>2024.17</v>
      </c>
      <c r="L16" s="15">
        <v>2024.17</v>
      </c>
      <c r="M16" s="15">
        <v>2024.17</v>
      </c>
      <c r="N16" s="15">
        <v>2024.17</v>
      </c>
    </row>
    <row r="17" spans="1:14" x14ac:dyDescent="0.25">
      <c r="A17" s="10" t="s">
        <v>116</v>
      </c>
      <c r="B17" s="15">
        <v>0</v>
      </c>
      <c r="C17" s="15">
        <v>0</v>
      </c>
      <c r="D17" s="15">
        <v>27.82</v>
      </c>
      <c r="E17" s="15">
        <v>27.82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</row>
    <row r="18" spans="1:14" x14ac:dyDescent="0.25">
      <c r="A18" s="10" t="s">
        <v>118</v>
      </c>
      <c r="B18" s="15">
        <v>711.56</v>
      </c>
      <c r="C18" s="15">
        <v>1349.46</v>
      </c>
      <c r="D18" s="15">
        <v>179.08</v>
      </c>
      <c r="E18" s="15">
        <v>729.44</v>
      </c>
      <c r="F18" s="15">
        <v>729.44</v>
      </c>
      <c r="G18" s="15">
        <v>729.44</v>
      </c>
      <c r="H18" s="15">
        <v>729.44</v>
      </c>
      <c r="I18" s="15">
        <v>1460.82</v>
      </c>
      <c r="J18" s="15">
        <v>912.29</v>
      </c>
      <c r="K18" s="15">
        <v>912.29</v>
      </c>
      <c r="L18" s="15">
        <v>912.29</v>
      </c>
      <c r="M18" s="15">
        <v>912.29</v>
      </c>
      <c r="N18" s="15">
        <v>912.29</v>
      </c>
    </row>
    <row r="19" spans="1:14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0</v>
      </c>
      <c r="F19" s="15">
        <v>27.82</v>
      </c>
      <c r="G19" s="15">
        <v>27.82</v>
      </c>
      <c r="H19" s="15">
        <v>27.82</v>
      </c>
      <c r="I19" s="15">
        <v>27.82</v>
      </c>
      <c r="J19" s="15">
        <v>33.58</v>
      </c>
      <c r="K19" s="15">
        <v>32.68</v>
      </c>
      <c r="L19" s="15">
        <v>32.68</v>
      </c>
      <c r="M19" s="15">
        <v>32.68</v>
      </c>
      <c r="N19" s="15">
        <v>0</v>
      </c>
    </row>
    <row r="20" spans="1:14" x14ac:dyDescent="0.25">
      <c r="A20" s="10" t="s">
        <v>122</v>
      </c>
      <c r="B20" s="15">
        <v>1446.01</v>
      </c>
      <c r="C20" s="15">
        <v>1241.27</v>
      </c>
      <c r="D20" s="15">
        <v>5158.51</v>
      </c>
      <c r="E20" s="15">
        <v>1470.76</v>
      </c>
      <c r="F20" s="15">
        <v>1470.76</v>
      </c>
      <c r="G20" s="15">
        <v>1470.76</v>
      </c>
      <c r="H20" s="15">
        <v>1470.76</v>
      </c>
      <c r="I20" s="15">
        <v>2473.12</v>
      </c>
      <c r="J20" s="15">
        <v>1721.35</v>
      </c>
      <c r="K20" s="15">
        <v>1721.35</v>
      </c>
      <c r="L20" s="15">
        <v>2335.1999999999998</v>
      </c>
      <c r="M20" s="15">
        <v>808.18</v>
      </c>
      <c r="N20" s="15">
        <v>1721.35</v>
      </c>
    </row>
    <row r="21" spans="1:14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14.17</v>
      </c>
      <c r="M21" s="15">
        <v>14.17</v>
      </c>
      <c r="N21" s="15">
        <v>0</v>
      </c>
    </row>
    <row r="22" spans="1:14" x14ac:dyDescent="0.25">
      <c r="A22" s="10" t="s">
        <v>126</v>
      </c>
      <c r="B22" s="15">
        <v>0</v>
      </c>
      <c r="C22" s="15">
        <v>143.09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</row>
    <row r="23" spans="1:14" x14ac:dyDescent="0.25">
      <c r="A23" s="10" t="s">
        <v>128</v>
      </c>
      <c r="B23" s="15">
        <v>0</v>
      </c>
      <c r="C23" s="15">
        <v>0</v>
      </c>
      <c r="D23" s="15">
        <v>44.14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</row>
    <row r="24" spans="1:14" x14ac:dyDescent="0.25">
      <c r="A24" s="10" t="s">
        <v>130</v>
      </c>
      <c r="B24" s="15">
        <v>1173.18</v>
      </c>
      <c r="C24" s="15">
        <v>1173.18</v>
      </c>
      <c r="D24" s="15">
        <v>1187.2</v>
      </c>
      <c r="E24" s="15">
        <v>1187.2</v>
      </c>
      <c r="F24" s="15">
        <v>1187.2</v>
      </c>
      <c r="G24" s="15">
        <v>1187.2</v>
      </c>
      <c r="H24" s="15">
        <v>1002.23</v>
      </c>
      <c r="I24" s="15">
        <v>1187.2</v>
      </c>
      <c r="J24" s="15">
        <v>1566.51</v>
      </c>
      <c r="K24" s="15">
        <v>1376.85</v>
      </c>
      <c r="L24" s="15">
        <v>1376.85</v>
      </c>
      <c r="M24" s="15">
        <v>1376.85</v>
      </c>
      <c r="N24" s="15">
        <v>1376.85</v>
      </c>
    </row>
    <row r="25" spans="1:14" x14ac:dyDescent="0.25">
      <c r="A25" s="10" t="s">
        <v>132</v>
      </c>
      <c r="B25" s="15">
        <v>0</v>
      </c>
      <c r="C25" s="15">
        <v>86.21</v>
      </c>
      <c r="D25" s="15">
        <v>86.21</v>
      </c>
      <c r="E25" s="15">
        <v>86.21</v>
      </c>
      <c r="F25" s="15">
        <v>86.21</v>
      </c>
      <c r="G25" s="15">
        <v>86.21</v>
      </c>
      <c r="H25" s="15">
        <v>86.21</v>
      </c>
      <c r="I25" s="15">
        <v>319.2</v>
      </c>
      <c r="J25" s="15">
        <v>135.15</v>
      </c>
      <c r="K25" s="15">
        <v>135.15</v>
      </c>
      <c r="L25" s="15">
        <v>135.15</v>
      </c>
      <c r="M25" s="15">
        <v>382.87</v>
      </c>
      <c r="N25" s="15">
        <v>135.15</v>
      </c>
    </row>
    <row r="26" spans="1:14" x14ac:dyDescent="0.25">
      <c r="A26" s="10" t="s">
        <v>134</v>
      </c>
      <c r="B26" s="15">
        <v>48.16</v>
      </c>
      <c r="C26" s="15">
        <v>48.16</v>
      </c>
      <c r="D26" s="15">
        <v>48.16</v>
      </c>
      <c r="E26" s="15">
        <v>48.16</v>
      </c>
      <c r="F26" s="15">
        <v>48.16</v>
      </c>
      <c r="G26" s="15">
        <v>48.16</v>
      </c>
      <c r="H26" s="15">
        <v>48.16</v>
      </c>
      <c r="I26" s="15">
        <v>48.16</v>
      </c>
      <c r="J26" s="15">
        <v>80.489999999999995</v>
      </c>
      <c r="K26" s="15">
        <v>61.5</v>
      </c>
      <c r="L26" s="15">
        <v>61.5</v>
      </c>
      <c r="M26" s="15">
        <v>95.56</v>
      </c>
      <c r="N26" s="15">
        <v>61.5</v>
      </c>
    </row>
    <row r="27" spans="1:14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29.01</v>
      </c>
      <c r="M27" s="15">
        <v>29.01</v>
      </c>
      <c r="N27" s="15">
        <v>0</v>
      </c>
    </row>
    <row r="28" spans="1:14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672.62</v>
      </c>
      <c r="H28" s="15">
        <v>726.83</v>
      </c>
      <c r="I28" s="15">
        <v>726.83</v>
      </c>
      <c r="J28" s="15">
        <v>773.34</v>
      </c>
      <c r="K28" s="15">
        <v>750.09</v>
      </c>
      <c r="L28" s="15">
        <v>750.09</v>
      </c>
      <c r="M28" s="15">
        <v>750.09</v>
      </c>
      <c r="N28" s="15">
        <v>48.11</v>
      </c>
    </row>
    <row r="29" spans="1:14" x14ac:dyDescent="0.25">
      <c r="A29" s="10" t="s">
        <v>140</v>
      </c>
      <c r="B29" s="15">
        <v>0</v>
      </c>
      <c r="C29" s="15">
        <v>10.76</v>
      </c>
      <c r="D29" s="15">
        <v>264.99</v>
      </c>
      <c r="E29" s="15">
        <v>264.99</v>
      </c>
      <c r="F29" s="15">
        <v>264.99</v>
      </c>
      <c r="G29" s="15">
        <v>264.99</v>
      </c>
      <c r="H29" s="15">
        <v>264.99</v>
      </c>
      <c r="I29" s="15">
        <v>264.99</v>
      </c>
      <c r="J29" s="15">
        <v>342.13</v>
      </c>
      <c r="K29" s="15">
        <v>303.56</v>
      </c>
      <c r="L29" s="15">
        <v>303.56</v>
      </c>
      <c r="M29" s="15">
        <v>303.56</v>
      </c>
      <c r="N29" s="15">
        <v>225.25</v>
      </c>
    </row>
    <row r="30" spans="1:14" x14ac:dyDescent="0.25">
      <c r="A30" s="10" t="s">
        <v>142</v>
      </c>
      <c r="B30" s="15">
        <v>486.14</v>
      </c>
      <c r="C30" s="15">
        <v>486.14</v>
      </c>
      <c r="D30" s="15">
        <v>479.19</v>
      </c>
      <c r="E30" s="15">
        <v>166.76</v>
      </c>
      <c r="F30" s="15">
        <v>486.14</v>
      </c>
      <c r="G30" s="15">
        <v>486.14</v>
      </c>
      <c r="H30" s="15">
        <v>486.14</v>
      </c>
      <c r="I30" s="15">
        <v>486.14</v>
      </c>
      <c r="J30" s="15">
        <v>745.08</v>
      </c>
      <c r="K30" s="15">
        <v>615.61</v>
      </c>
      <c r="L30" s="15">
        <v>615.61</v>
      </c>
      <c r="M30" s="15">
        <v>615.61</v>
      </c>
      <c r="N30" s="15">
        <v>615.61</v>
      </c>
    </row>
    <row r="31" spans="1:14" x14ac:dyDescent="0.25">
      <c r="A31" s="10" t="s">
        <v>144</v>
      </c>
      <c r="B31" s="15">
        <v>0</v>
      </c>
      <c r="C31" s="15">
        <v>728.37</v>
      </c>
      <c r="D31" s="15">
        <v>728.37</v>
      </c>
      <c r="E31" s="15">
        <v>728.37</v>
      </c>
      <c r="F31" s="15">
        <v>780.51</v>
      </c>
      <c r="G31" s="15">
        <v>780.51</v>
      </c>
      <c r="H31" s="15">
        <v>780.51</v>
      </c>
      <c r="I31" s="15">
        <v>1511.47</v>
      </c>
      <c r="J31" s="15">
        <v>963.25</v>
      </c>
      <c r="K31" s="15">
        <v>963.25</v>
      </c>
      <c r="L31" s="15">
        <v>963.25</v>
      </c>
      <c r="M31" s="15">
        <v>963.25</v>
      </c>
      <c r="N31" s="15">
        <v>963.25</v>
      </c>
    </row>
    <row r="32" spans="1:14" x14ac:dyDescent="0.25">
      <c r="A32" s="10" t="s">
        <v>146</v>
      </c>
      <c r="B32" s="15">
        <v>60.45</v>
      </c>
      <c r="C32" s="15">
        <v>62.42</v>
      </c>
      <c r="D32" s="15">
        <v>62.42</v>
      </c>
      <c r="E32" s="15">
        <v>62.42</v>
      </c>
      <c r="F32" s="15">
        <v>62.42</v>
      </c>
      <c r="G32" s="15">
        <v>117.25</v>
      </c>
      <c r="H32" s="15">
        <v>117.25</v>
      </c>
      <c r="I32" s="15">
        <v>341.28</v>
      </c>
      <c r="J32" s="15">
        <v>163.66</v>
      </c>
      <c r="K32" s="15">
        <v>163.66</v>
      </c>
      <c r="L32" s="15">
        <v>163.66</v>
      </c>
      <c r="M32" s="15">
        <v>530.65</v>
      </c>
      <c r="N32" s="15">
        <v>163.66</v>
      </c>
    </row>
    <row r="33" spans="1:14" x14ac:dyDescent="0.25">
      <c r="A33" s="10" t="s">
        <v>148</v>
      </c>
      <c r="B33" s="15">
        <v>122.64</v>
      </c>
      <c r="C33" s="15">
        <v>122.64</v>
      </c>
      <c r="D33" s="15">
        <v>122.64</v>
      </c>
      <c r="E33" s="15">
        <v>122.64</v>
      </c>
      <c r="F33" s="15">
        <v>122.64</v>
      </c>
      <c r="G33" s="15">
        <v>71.02</v>
      </c>
      <c r="H33" s="15">
        <v>89.38</v>
      </c>
      <c r="I33" s="15">
        <v>362.69</v>
      </c>
      <c r="J33" s="15">
        <v>169.57</v>
      </c>
      <c r="K33" s="15">
        <v>174.71</v>
      </c>
      <c r="L33" s="15">
        <v>174.71</v>
      </c>
      <c r="M33" s="15">
        <v>174.71</v>
      </c>
      <c r="N33" s="15">
        <v>174.71</v>
      </c>
    </row>
    <row r="34" spans="1:14" x14ac:dyDescent="0.25">
      <c r="A34" s="10" t="s">
        <v>150</v>
      </c>
      <c r="B34" s="15">
        <v>3937.49</v>
      </c>
      <c r="C34" s="15">
        <v>2938.16</v>
      </c>
      <c r="D34" s="15">
        <v>7879.06</v>
      </c>
      <c r="E34" s="15">
        <v>2823.64</v>
      </c>
      <c r="F34" s="15">
        <v>2823.64</v>
      </c>
      <c r="G34" s="15">
        <v>2823.64</v>
      </c>
      <c r="H34" s="15">
        <v>2823.64</v>
      </c>
      <c r="I34" s="15">
        <v>2823.64</v>
      </c>
      <c r="J34" s="15">
        <v>3482.76</v>
      </c>
      <c r="K34" s="15">
        <v>3153.2</v>
      </c>
      <c r="L34" s="15">
        <v>3153.2</v>
      </c>
      <c r="M34" s="15">
        <v>3153.2</v>
      </c>
      <c r="N34" s="15">
        <v>3153.2</v>
      </c>
    </row>
    <row r="35" spans="1:14" x14ac:dyDescent="0.25">
      <c r="A35" s="10" t="s">
        <v>152</v>
      </c>
      <c r="B35" s="15">
        <v>301.8</v>
      </c>
      <c r="C35" s="15">
        <v>301.8</v>
      </c>
      <c r="D35" s="15">
        <v>301.8</v>
      </c>
      <c r="E35" s="15">
        <v>301.8</v>
      </c>
      <c r="F35" s="15">
        <v>310.91000000000003</v>
      </c>
      <c r="G35" s="15">
        <v>310.91000000000003</v>
      </c>
      <c r="H35" s="15">
        <v>310.91000000000003</v>
      </c>
      <c r="I35" s="15">
        <v>785.58</v>
      </c>
      <c r="J35" s="15">
        <v>404.11</v>
      </c>
      <c r="K35" s="15">
        <v>404.11</v>
      </c>
      <c r="L35" s="15">
        <v>404.11</v>
      </c>
      <c r="M35" s="15">
        <v>404.11</v>
      </c>
      <c r="N35" s="15">
        <v>404.11</v>
      </c>
    </row>
    <row r="36" spans="1:14" x14ac:dyDescent="0.25">
      <c r="A36" s="10" t="s">
        <v>154</v>
      </c>
      <c r="B36" s="15">
        <v>4211.2</v>
      </c>
      <c r="C36" s="15">
        <v>4211.2</v>
      </c>
      <c r="D36" s="15">
        <v>14057.69</v>
      </c>
      <c r="E36" s="15">
        <v>4211.2</v>
      </c>
      <c r="F36" s="15">
        <v>4211.2</v>
      </c>
      <c r="G36" s="15">
        <v>4211.2</v>
      </c>
      <c r="H36" s="15">
        <v>7840.45</v>
      </c>
      <c r="I36" s="15">
        <v>885.84</v>
      </c>
      <c r="J36" s="15">
        <v>4809.21</v>
      </c>
      <c r="K36" s="15">
        <v>4659.71</v>
      </c>
      <c r="L36" s="15">
        <v>4659.71</v>
      </c>
      <c r="M36" s="15">
        <v>4659.71</v>
      </c>
      <c r="N36" s="15">
        <v>4659.71</v>
      </c>
    </row>
    <row r="37" spans="1:14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14.17</v>
      </c>
      <c r="M37" s="15">
        <v>14.17</v>
      </c>
      <c r="N37" s="15">
        <v>0</v>
      </c>
    </row>
    <row r="38" spans="1:14" x14ac:dyDescent="0.25">
      <c r="A38" s="10" t="s">
        <v>158</v>
      </c>
      <c r="B38" s="15">
        <v>60.45</v>
      </c>
      <c r="C38" s="15">
        <v>60.45</v>
      </c>
      <c r="D38" s="15">
        <v>62.42</v>
      </c>
      <c r="E38" s="15">
        <v>62.42</v>
      </c>
      <c r="F38" s="15">
        <v>62.42</v>
      </c>
      <c r="G38" s="15">
        <v>117.25</v>
      </c>
      <c r="H38" s="15">
        <v>117.25</v>
      </c>
      <c r="I38" s="15">
        <v>341.28</v>
      </c>
      <c r="J38" s="15">
        <v>409.33</v>
      </c>
      <c r="K38" s="15">
        <v>18.53</v>
      </c>
      <c r="L38" s="15">
        <v>163.66</v>
      </c>
      <c r="M38" s="15">
        <v>163.66</v>
      </c>
      <c r="N38" s="15">
        <v>163.66</v>
      </c>
    </row>
    <row r="39" spans="1:14" x14ac:dyDescent="0.25">
      <c r="A39" s="10" t="s">
        <v>160</v>
      </c>
      <c r="B39" s="15">
        <v>451.37</v>
      </c>
      <c r="C39" s="15">
        <v>451.37</v>
      </c>
      <c r="D39" s="15">
        <v>1412.7</v>
      </c>
      <c r="E39" s="15">
        <v>0</v>
      </c>
      <c r="F39" s="15">
        <v>319.3</v>
      </c>
      <c r="G39" s="15">
        <v>451.37</v>
      </c>
      <c r="H39" s="15">
        <v>451.37</v>
      </c>
      <c r="I39" s="15">
        <v>28.65</v>
      </c>
      <c r="J39" s="15">
        <v>426.36</v>
      </c>
      <c r="K39" s="15">
        <v>582.33000000000004</v>
      </c>
      <c r="L39" s="15">
        <v>582.33000000000004</v>
      </c>
      <c r="M39" s="15">
        <v>582.33000000000004</v>
      </c>
      <c r="N39" s="15">
        <v>582.33000000000004</v>
      </c>
    </row>
    <row r="40" spans="1:14" x14ac:dyDescent="0.25">
      <c r="A40" s="10" t="s">
        <v>162</v>
      </c>
      <c r="B40" s="15">
        <v>43.23</v>
      </c>
      <c r="C40" s="15">
        <v>43.23</v>
      </c>
      <c r="D40" s="15">
        <v>43.23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</row>
    <row r="41" spans="1:14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1136.9100000000001</v>
      </c>
      <c r="L41" s="15">
        <v>1084.77</v>
      </c>
      <c r="M41" s="15">
        <v>1084.77</v>
      </c>
      <c r="N41" s="15">
        <v>1084.77</v>
      </c>
    </row>
    <row r="42" spans="1:14" x14ac:dyDescent="0.25">
      <c r="A42" s="10" t="s">
        <v>166</v>
      </c>
      <c r="B42" s="15">
        <v>158.71</v>
      </c>
      <c r="C42" s="15">
        <v>163.69</v>
      </c>
      <c r="D42" s="15">
        <v>163.69</v>
      </c>
      <c r="E42" s="15">
        <v>163.69</v>
      </c>
      <c r="F42" s="15">
        <v>163.69</v>
      </c>
      <c r="G42" s="15">
        <v>163.69</v>
      </c>
      <c r="H42" s="15">
        <v>163.69</v>
      </c>
      <c r="I42" s="15">
        <v>461.67</v>
      </c>
      <c r="J42" s="15">
        <v>218.06</v>
      </c>
      <c r="K42" s="15">
        <v>218.06</v>
      </c>
      <c r="L42" s="15">
        <v>218.06</v>
      </c>
      <c r="M42" s="15">
        <v>633.37</v>
      </c>
      <c r="N42" s="15">
        <v>218.06</v>
      </c>
    </row>
    <row r="43" spans="1:14" x14ac:dyDescent="0.25">
      <c r="A43" s="10" t="s">
        <v>168</v>
      </c>
      <c r="B43" s="15">
        <v>1980.55</v>
      </c>
      <c r="C43" s="15">
        <v>1980.55</v>
      </c>
      <c r="D43" s="15">
        <v>1980.55</v>
      </c>
      <c r="E43" s="15">
        <v>1980.55</v>
      </c>
      <c r="F43" s="15">
        <v>1980.55</v>
      </c>
      <c r="G43" s="15">
        <v>3603.82</v>
      </c>
      <c r="H43" s="15">
        <v>116.07</v>
      </c>
      <c r="I43" s="15">
        <v>3034.14</v>
      </c>
      <c r="J43" s="15">
        <v>2296.62</v>
      </c>
      <c r="K43" s="15">
        <v>2330.58</v>
      </c>
      <c r="L43" s="15">
        <v>2330.58</v>
      </c>
      <c r="M43" s="15">
        <v>2330.58</v>
      </c>
      <c r="N43" s="15">
        <v>2330.58</v>
      </c>
    </row>
    <row r="44" spans="1:14" x14ac:dyDescent="0.25">
      <c r="A44" s="10" t="s">
        <v>170</v>
      </c>
      <c r="B44" s="15">
        <v>1448.64</v>
      </c>
      <c r="C44" s="15">
        <v>1448.64</v>
      </c>
      <c r="D44" s="15">
        <v>1448.64</v>
      </c>
      <c r="E44" s="15">
        <v>2669.64</v>
      </c>
      <c r="F44" s="15">
        <v>1448.64</v>
      </c>
      <c r="G44" s="15">
        <v>1448.64</v>
      </c>
      <c r="H44" s="15">
        <v>1448.64</v>
      </c>
      <c r="I44" s="15">
        <v>1448.64</v>
      </c>
      <c r="J44" s="15">
        <v>1872.36</v>
      </c>
      <c r="K44" s="15">
        <v>1660.5</v>
      </c>
      <c r="L44" s="15">
        <v>1660.5</v>
      </c>
      <c r="M44" s="15">
        <v>3976.6</v>
      </c>
      <c r="N44" s="15">
        <v>1660.5</v>
      </c>
    </row>
    <row r="45" spans="1:14" x14ac:dyDescent="0.25">
      <c r="A45" s="10" t="s">
        <v>172</v>
      </c>
      <c r="B45" s="15">
        <v>796.74</v>
      </c>
      <c r="C45" s="15">
        <v>796.74</v>
      </c>
      <c r="D45" s="15">
        <v>796.74</v>
      </c>
      <c r="E45" s="15">
        <v>617.1</v>
      </c>
      <c r="F45" s="15">
        <v>796.74</v>
      </c>
      <c r="G45" s="15">
        <v>796.74</v>
      </c>
      <c r="H45" s="15">
        <v>796.74</v>
      </c>
      <c r="I45" s="15">
        <v>796.74</v>
      </c>
      <c r="J45" s="15">
        <v>1108.8599999999999</v>
      </c>
      <c r="K45" s="15">
        <v>952.8</v>
      </c>
      <c r="L45" s="15">
        <v>952.8</v>
      </c>
      <c r="M45" s="15">
        <v>952.8</v>
      </c>
      <c r="N45" s="15">
        <v>952.8</v>
      </c>
    </row>
    <row r="46" spans="1:14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</row>
    <row r="47" spans="1:14" x14ac:dyDescent="0.25">
      <c r="A47" s="10" t="s">
        <v>176</v>
      </c>
      <c r="B47" s="15">
        <v>129.21</v>
      </c>
      <c r="C47" s="15">
        <v>133.91</v>
      </c>
      <c r="D47" s="15">
        <v>133.91</v>
      </c>
      <c r="E47" s="15">
        <v>133.91</v>
      </c>
      <c r="F47" s="15">
        <v>133.91</v>
      </c>
      <c r="G47" s="15">
        <v>133.91</v>
      </c>
      <c r="H47" s="15">
        <v>133.91</v>
      </c>
      <c r="I47" s="15">
        <v>385.19</v>
      </c>
      <c r="J47" s="15">
        <v>181.95</v>
      </c>
      <c r="K47" s="15">
        <v>181.95</v>
      </c>
      <c r="L47" s="15">
        <v>181.95</v>
      </c>
      <c r="M47" s="15">
        <v>304.26</v>
      </c>
      <c r="N47" s="15">
        <v>181.95</v>
      </c>
    </row>
    <row r="48" spans="1:14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26.96</v>
      </c>
      <c r="I48" s="15">
        <v>35.08</v>
      </c>
      <c r="J48" s="15">
        <v>37.61</v>
      </c>
      <c r="K48" s="15">
        <v>36.35</v>
      </c>
      <c r="L48" s="15">
        <v>36.35</v>
      </c>
      <c r="M48" s="15">
        <v>36.35</v>
      </c>
      <c r="N48" s="15">
        <v>0</v>
      </c>
    </row>
    <row r="49" spans="1:14" x14ac:dyDescent="0.25">
      <c r="A49" s="10" t="s">
        <v>180</v>
      </c>
      <c r="B49" s="15">
        <v>131.08000000000001</v>
      </c>
      <c r="C49" s="15">
        <v>131.08000000000001</v>
      </c>
      <c r="D49" s="15">
        <v>131.08000000000001</v>
      </c>
      <c r="E49" s="15">
        <v>131.08000000000001</v>
      </c>
      <c r="F49" s="15">
        <v>131.08000000000001</v>
      </c>
      <c r="G49" s="15">
        <v>131.08000000000001</v>
      </c>
      <c r="H49" s="15">
        <v>131.08000000000001</v>
      </c>
      <c r="I49" s="15">
        <v>131.08000000000001</v>
      </c>
      <c r="J49" s="15">
        <v>477.57</v>
      </c>
      <c r="K49" s="15">
        <v>387.6</v>
      </c>
      <c r="L49" s="15">
        <v>387.6</v>
      </c>
      <c r="M49" s="15">
        <v>387.6</v>
      </c>
      <c r="N49" s="15">
        <v>387.6</v>
      </c>
    </row>
    <row r="50" spans="1:14" x14ac:dyDescent="0.25">
      <c r="A50" s="10" t="s">
        <v>182</v>
      </c>
      <c r="B50" s="15">
        <v>0</v>
      </c>
      <c r="C50" s="15">
        <v>159.65</v>
      </c>
      <c r="D50" s="15">
        <v>159.65</v>
      </c>
      <c r="E50" s="15">
        <v>159.65</v>
      </c>
      <c r="F50" s="15">
        <v>159.65</v>
      </c>
      <c r="G50" s="15">
        <v>159.65</v>
      </c>
      <c r="H50" s="15">
        <v>164.74</v>
      </c>
      <c r="I50" s="15">
        <v>462.61</v>
      </c>
      <c r="J50" s="15">
        <v>208.36</v>
      </c>
      <c r="K50" s="15">
        <v>44.55</v>
      </c>
      <c r="L50" s="15">
        <v>219.79</v>
      </c>
      <c r="M50" s="15">
        <v>219.79</v>
      </c>
      <c r="N50" s="15">
        <v>219.79</v>
      </c>
    </row>
    <row r="51" spans="1:14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27.82</v>
      </c>
      <c r="N51" s="15">
        <v>0</v>
      </c>
    </row>
    <row r="52" spans="1:14" x14ac:dyDescent="0.25">
      <c r="A52" s="10" t="s">
        <v>186</v>
      </c>
      <c r="B52" s="15">
        <v>279.25</v>
      </c>
      <c r="C52" s="15">
        <v>279.25</v>
      </c>
      <c r="D52" s="15">
        <v>279.25</v>
      </c>
      <c r="E52" s="15">
        <v>279.25</v>
      </c>
      <c r="F52" s="15">
        <v>279.25</v>
      </c>
      <c r="G52" s="15">
        <v>279.25</v>
      </c>
      <c r="H52" s="15">
        <v>279.25</v>
      </c>
      <c r="I52" s="15">
        <v>279.25</v>
      </c>
      <c r="J52" s="15">
        <v>531.01</v>
      </c>
      <c r="K52" s="15">
        <v>944.1</v>
      </c>
      <c r="L52" s="15">
        <v>16.579999999999998</v>
      </c>
      <c r="M52" s="15">
        <v>413.38</v>
      </c>
      <c r="N52" s="15">
        <v>413.38</v>
      </c>
    </row>
    <row r="53" spans="1:14" x14ac:dyDescent="0.25">
      <c r="A53" s="10" t="s">
        <v>188</v>
      </c>
      <c r="B53" s="15">
        <v>1069.3699999999999</v>
      </c>
      <c r="C53" s="15">
        <v>1069.3699999999999</v>
      </c>
      <c r="D53" s="15">
        <v>1069.3699999999999</v>
      </c>
      <c r="E53" s="15">
        <v>1069.3699999999999</v>
      </c>
      <c r="F53" s="15">
        <v>1069.3699999999999</v>
      </c>
      <c r="G53" s="15">
        <v>1069.3699999999999</v>
      </c>
      <c r="H53" s="15">
        <v>1069.3699999999999</v>
      </c>
      <c r="I53" s="15">
        <v>1069.3699999999999</v>
      </c>
      <c r="J53" s="15">
        <v>1383.09</v>
      </c>
      <c r="K53" s="15">
        <v>1226.23</v>
      </c>
      <c r="L53" s="15">
        <v>1226.23</v>
      </c>
      <c r="M53" s="15">
        <v>1226.23</v>
      </c>
      <c r="N53" s="15">
        <v>1226.23</v>
      </c>
    </row>
    <row r="54" spans="1:14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63.25</v>
      </c>
      <c r="L54" s="15">
        <v>63.25</v>
      </c>
      <c r="M54" s="15">
        <v>63.25</v>
      </c>
      <c r="N54" s="15">
        <v>0</v>
      </c>
    </row>
    <row r="55" spans="1:14" x14ac:dyDescent="0.25">
      <c r="A55" s="10" t="s">
        <v>192</v>
      </c>
      <c r="B55" s="15">
        <v>144.34</v>
      </c>
      <c r="C55" s="15">
        <v>149.18</v>
      </c>
      <c r="D55" s="15">
        <v>149.18</v>
      </c>
      <c r="E55" s="15">
        <v>149.18</v>
      </c>
      <c r="F55" s="15">
        <v>149.18</v>
      </c>
      <c r="G55" s="15">
        <v>149.18</v>
      </c>
      <c r="H55" s="15">
        <v>149.18</v>
      </c>
      <c r="I55" s="15">
        <v>420.03</v>
      </c>
      <c r="J55" s="15">
        <v>198.73</v>
      </c>
      <c r="K55" s="15">
        <v>198.73</v>
      </c>
      <c r="L55" s="15">
        <v>198.73</v>
      </c>
      <c r="M55" s="15">
        <v>232.98</v>
      </c>
      <c r="N55" s="15">
        <v>198.73</v>
      </c>
    </row>
    <row r="56" spans="1:14" x14ac:dyDescent="0.25">
      <c r="A56" s="10" t="s">
        <v>194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</row>
    <row r="57" spans="1:14" x14ac:dyDescent="0.25">
      <c r="A57" s="10" t="s">
        <v>196</v>
      </c>
      <c r="B57" s="15">
        <v>365.12</v>
      </c>
      <c r="C57" s="15">
        <v>365.12</v>
      </c>
      <c r="D57" s="15">
        <v>365.12</v>
      </c>
      <c r="E57" s="15">
        <v>365.12</v>
      </c>
      <c r="F57" s="15">
        <v>365.12</v>
      </c>
      <c r="G57" s="15">
        <v>365.12</v>
      </c>
      <c r="H57" s="15">
        <v>365.12</v>
      </c>
      <c r="I57" s="15">
        <v>365.12</v>
      </c>
      <c r="J57" s="15">
        <v>525.19000000000005</v>
      </c>
      <c r="K57" s="15">
        <v>436.92</v>
      </c>
      <c r="L57" s="15">
        <v>436.92</v>
      </c>
      <c r="M57" s="15">
        <v>747.92</v>
      </c>
      <c r="N57" s="15">
        <v>436.92</v>
      </c>
    </row>
    <row r="58" spans="1:14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44.1</v>
      </c>
      <c r="M58" s="15">
        <v>44.1</v>
      </c>
      <c r="N58" s="15">
        <v>0</v>
      </c>
    </row>
    <row r="59" spans="1:14" x14ac:dyDescent="0.25">
      <c r="A59" s="10" t="s">
        <v>200</v>
      </c>
      <c r="B59" s="15">
        <v>0</v>
      </c>
      <c r="C59" s="15">
        <v>60.6</v>
      </c>
      <c r="D59" s="15">
        <v>87.23</v>
      </c>
      <c r="E59" s="15">
        <v>91.68</v>
      </c>
      <c r="F59" s="15">
        <v>91.68</v>
      </c>
      <c r="G59" s="15">
        <v>91.68</v>
      </c>
      <c r="H59" s="15">
        <v>91.68</v>
      </c>
      <c r="I59" s="15">
        <v>251.42</v>
      </c>
      <c r="J59" s="15">
        <v>137.32</v>
      </c>
      <c r="K59" s="15">
        <v>137.32</v>
      </c>
      <c r="L59" s="15">
        <v>137.32</v>
      </c>
      <c r="M59" s="15">
        <v>137.32</v>
      </c>
      <c r="N59" s="15">
        <v>137.32</v>
      </c>
    </row>
    <row r="60" spans="1:14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62.12</v>
      </c>
      <c r="I60" s="15">
        <v>62.12</v>
      </c>
      <c r="J60" s="15">
        <v>65.03</v>
      </c>
      <c r="K60" s="15">
        <v>63.57</v>
      </c>
      <c r="L60" s="15">
        <v>63.57</v>
      </c>
      <c r="M60" s="15">
        <v>63.57</v>
      </c>
      <c r="N60" s="15">
        <v>0</v>
      </c>
    </row>
    <row r="61" spans="1:14" x14ac:dyDescent="0.25">
      <c r="A61" s="10" t="s">
        <v>204</v>
      </c>
      <c r="B61" s="15">
        <v>0</v>
      </c>
      <c r="C61" s="15">
        <v>0</v>
      </c>
      <c r="D61" s="15">
        <v>14.17</v>
      </c>
      <c r="E61" s="15">
        <v>14.17</v>
      </c>
      <c r="F61" s="15">
        <v>14.17</v>
      </c>
      <c r="G61" s="15">
        <v>14.17</v>
      </c>
      <c r="H61" s="15">
        <v>14.17</v>
      </c>
      <c r="I61" s="15">
        <v>72.98</v>
      </c>
      <c r="J61" s="15">
        <v>29.6</v>
      </c>
      <c r="K61" s="15">
        <v>29.6</v>
      </c>
      <c r="L61" s="15">
        <v>29.6</v>
      </c>
      <c r="M61" s="15">
        <v>29.6</v>
      </c>
      <c r="N61" s="15">
        <v>29.6</v>
      </c>
    </row>
    <row r="62" spans="1:14" x14ac:dyDescent="0.25">
      <c r="A62" s="10" t="s">
        <v>206</v>
      </c>
      <c r="B62" s="15">
        <v>256.32</v>
      </c>
      <c r="C62" s="15">
        <v>256.32</v>
      </c>
      <c r="D62" s="15">
        <v>256.32</v>
      </c>
      <c r="E62" s="15">
        <v>256.32</v>
      </c>
      <c r="F62" s="15">
        <v>256.32</v>
      </c>
      <c r="G62" s="15">
        <v>256.32</v>
      </c>
      <c r="H62" s="15">
        <v>256.32</v>
      </c>
      <c r="I62" s="15">
        <v>256.32</v>
      </c>
      <c r="J62" s="15">
        <v>728.55</v>
      </c>
      <c r="K62" s="15">
        <v>623.64</v>
      </c>
      <c r="L62" s="15">
        <v>623.64</v>
      </c>
      <c r="M62" s="15">
        <v>623.64</v>
      </c>
      <c r="N62" s="15">
        <v>623.64</v>
      </c>
    </row>
    <row r="63" spans="1:14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5">
      <c r="A65" s="10" t="s">
        <v>212</v>
      </c>
      <c r="B65" s="15">
        <v>0</v>
      </c>
      <c r="C65" s="15">
        <v>0</v>
      </c>
      <c r="D65" s="15">
        <v>0</v>
      </c>
      <c r="E65" s="15">
        <v>112.45</v>
      </c>
      <c r="F65" s="15">
        <v>112.45</v>
      </c>
      <c r="G65" s="15">
        <v>112.45</v>
      </c>
      <c r="H65" s="15">
        <v>112.45</v>
      </c>
      <c r="I65" s="15">
        <v>112.45</v>
      </c>
      <c r="J65" s="15">
        <v>145.81</v>
      </c>
      <c r="K65" s="15">
        <v>129.13</v>
      </c>
      <c r="L65" s="15">
        <v>129.13</v>
      </c>
      <c r="M65" s="15">
        <v>129.13</v>
      </c>
      <c r="N65" s="15">
        <v>38.67</v>
      </c>
    </row>
    <row r="66" spans="1:14" x14ac:dyDescent="0.25">
      <c r="A66" s="10" t="s">
        <v>214</v>
      </c>
      <c r="B66" s="15">
        <v>1160.42</v>
      </c>
      <c r="C66" s="15">
        <v>1160.42</v>
      </c>
      <c r="D66" s="15">
        <v>1160.42</v>
      </c>
      <c r="E66" s="15">
        <v>1160.42</v>
      </c>
      <c r="F66" s="15">
        <v>1160.42</v>
      </c>
      <c r="G66" s="15">
        <v>1160.42</v>
      </c>
      <c r="H66" s="15">
        <v>1160.42</v>
      </c>
      <c r="I66" s="15">
        <v>975.98</v>
      </c>
      <c r="J66" s="15">
        <v>1410.23</v>
      </c>
      <c r="K66" s="15">
        <v>1347.78</v>
      </c>
      <c r="L66" s="15">
        <v>1347.78</v>
      </c>
      <c r="M66" s="15">
        <v>1347.78</v>
      </c>
      <c r="N66" s="15">
        <v>1347.78</v>
      </c>
    </row>
    <row r="67" spans="1:14" x14ac:dyDescent="0.25">
      <c r="A67" s="10" t="s">
        <v>216</v>
      </c>
      <c r="B67" s="15">
        <v>4618.01</v>
      </c>
      <c r="C67" s="15">
        <v>4618.01</v>
      </c>
      <c r="D67" s="15">
        <v>8090.76</v>
      </c>
      <c r="E67" s="15">
        <v>4618.01</v>
      </c>
      <c r="F67" s="15">
        <v>4618.01</v>
      </c>
      <c r="G67" s="15">
        <v>4618.01</v>
      </c>
      <c r="H67" s="15">
        <v>4618.01</v>
      </c>
      <c r="I67" s="15">
        <v>4618.01</v>
      </c>
      <c r="J67" s="15">
        <v>5611.1</v>
      </c>
      <c r="K67" s="15">
        <v>5114.55</v>
      </c>
      <c r="L67" s="15">
        <v>5114.55</v>
      </c>
      <c r="M67" s="15">
        <v>5114.55</v>
      </c>
      <c r="N67" s="15">
        <v>5114.55</v>
      </c>
    </row>
    <row r="68" spans="1:14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365.12</v>
      </c>
      <c r="F69" s="15">
        <v>365.12</v>
      </c>
      <c r="G69" s="15">
        <v>365.12</v>
      </c>
      <c r="H69" s="15">
        <v>365.12</v>
      </c>
      <c r="I69" s="15">
        <v>365.12</v>
      </c>
      <c r="J69" s="15">
        <v>427.02</v>
      </c>
      <c r="K69" s="15">
        <v>393.65</v>
      </c>
      <c r="L69" s="15">
        <v>393.65</v>
      </c>
      <c r="M69" s="15">
        <v>393.65</v>
      </c>
      <c r="N69" s="15">
        <v>160.09</v>
      </c>
    </row>
    <row r="70" spans="1:14" x14ac:dyDescent="0.25">
      <c r="A70" s="10" t="s">
        <v>222</v>
      </c>
      <c r="B70" s="15">
        <v>1585.95</v>
      </c>
      <c r="C70" s="15">
        <v>1585.95</v>
      </c>
      <c r="D70" s="15">
        <v>1585.95</v>
      </c>
      <c r="E70" s="15">
        <v>1420.96</v>
      </c>
      <c r="F70" s="15">
        <v>1585.95</v>
      </c>
      <c r="G70" s="15">
        <v>1585.95</v>
      </c>
      <c r="H70" s="15">
        <v>1585.95</v>
      </c>
      <c r="I70" s="15">
        <v>1585.95</v>
      </c>
      <c r="J70" s="15">
        <v>2033.52</v>
      </c>
      <c r="K70" s="15">
        <v>1809.74</v>
      </c>
      <c r="L70" s="15">
        <v>1809.74</v>
      </c>
      <c r="M70" s="15">
        <v>1809.74</v>
      </c>
      <c r="N70" s="15">
        <v>1809.74</v>
      </c>
    </row>
    <row r="71" spans="1:14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5">
      <c r="A72" s="10" t="s">
        <v>226</v>
      </c>
      <c r="B72" s="15">
        <v>4796.96</v>
      </c>
      <c r="C72" s="15">
        <v>4796.96</v>
      </c>
      <c r="D72" s="15">
        <v>19921.96</v>
      </c>
      <c r="E72" s="15">
        <v>4796.96</v>
      </c>
      <c r="F72" s="15">
        <v>4796.96</v>
      </c>
      <c r="G72" s="15">
        <v>4796.96</v>
      </c>
      <c r="H72" s="15">
        <v>4796.96</v>
      </c>
      <c r="I72" s="15">
        <v>4796.96</v>
      </c>
      <c r="J72" s="15">
        <v>5794.26</v>
      </c>
      <c r="K72" s="15">
        <v>5295.61</v>
      </c>
      <c r="L72" s="15">
        <v>11357.05</v>
      </c>
      <c r="M72" s="15">
        <v>5295.61</v>
      </c>
      <c r="N72" s="15">
        <v>5295.61</v>
      </c>
    </row>
    <row r="73" spans="1:14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98.16</v>
      </c>
      <c r="I74" s="15">
        <v>98.16</v>
      </c>
      <c r="J74" s="15">
        <v>104.59</v>
      </c>
      <c r="K74" s="15">
        <v>101.38</v>
      </c>
      <c r="L74" s="15">
        <v>101.38</v>
      </c>
      <c r="M74" s="15">
        <v>101.38</v>
      </c>
      <c r="N74" s="15">
        <v>0</v>
      </c>
    </row>
    <row r="75" spans="1:14" x14ac:dyDescent="0.25">
      <c r="A75" s="10" t="s">
        <v>232</v>
      </c>
      <c r="B75" s="15">
        <v>174.07</v>
      </c>
      <c r="C75" s="15">
        <v>174.07</v>
      </c>
      <c r="D75" s="15">
        <v>174.07</v>
      </c>
      <c r="E75" s="15">
        <v>174.07</v>
      </c>
      <c r="F75" s="15">
        <v>174.07</v>
      </c>
      <c r="G75" s="15">
        <v>179.31</v>
      </c>
      <c r="H75" s="15">
        <v>179.31</v>
      </c>
      <c r="I75" s="15">
        <v>506.48</v>
      </c>
      <c r="J75" s="15">
        <v>828.61</v>
      </c>
      <c r="K75" s="15">
        <v>0</v>
      </c>
      <c r="L75" s="15">
        <v>209.62</v>
      </c>
      <c r="M75" s="15">
        <v>243.79</v>
      </c>
      <c r="N75" s="15">
        <v>243.79</v>
      </c>
    </row>
    <row r="76" spans="1:14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5">
      <c r="A77" s="10" t="s">
        <v>236</v>
      </c>
      <c r="B77" s="15">
        <v>1318.08</v>
      </c>
      <c r="C77" s="15">
        <v>1318.08</v>
      </c>
      <c r="D77" s="15">
        <v>1318.08</v>
      </c>
      <c r="E77" s="15">
        <v>1318.08</v>
      </c>
      <c r="F77" s="15">
        <v>1318.08</v>
      </c>
      <c r="G77" s="15">
        <v>4131.3900000000003</v>
      </c>
      <c r="H77" s="15">
        <v>3401.45</v>
      </c>
      <c r="I77" s="15">
        <v>170.2</v>
      </c>
      <c r="J77" s="15">
        <v>2206.1</v>
      </c>
      <c r="K77" s="15">
        <v>2123.71</v>
      </c>
      <c r="L77" s="15">
        <v>2123.71</v>
      </c>
      <c r="M77" s="15">
        <v>2123.71</v>
      </c>
      <c r="N77" s="15">
        <v>2123.71</v>
      </c>
    </row>
    <row r="78" spans="1:14" x14ac:dyDescent="0.25">
      <c r="A78" s="10" t="s">
        <v>238</v>
      </c>
      <c r="B78" s="15">
        <v>3287.32</v>
      </c>
      <c r="C78" s="15">
        <v>3287.32</v>
      </c>
      <c r="D78" s="15">
        <v>8509.4699999999993</v>
      </c>
      <c r="E78" s="15">
        <v>3287.32</v>
      </c>
      <c r="F78" s="15">
        <v>3925.59</v>
      </c>
      <c r="G78" s="15">
        <v>2707.08</v>
      </c>
      <c r="H78" s="15">
        <v>3287.32</v>
      </c>
      <c r="I78" s="15">
        <v>3287.32</v>
      </c>
      <c r="J78" s="15">
        <v>4035.1</v>
      </c>
      <c r="K78" s="15">
        <v>3661.21</v>
      </c>
      <c r="L78" s="15">
        <v>3661.21</v>
      </c>
      <c r="M78" s="15">
        <v>3661.21</v>
      </c>
      <c r="N78" s="15">
        <v>3661.21</v>
      </c>
    </row>
    <row r="79" spans="1:14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1714.48</v>
      </c>
      <c r="H79" s="15">
        <v>2548.64</v>
      </c>
      <c r="I79" s="15">
        <v>2548.64</v>
      </c>
      <c r="J79" s="15">
        <v>2650.89</v>
      </c>
      <c r="K79" s="15">
        <v>2599.77</v>
      </c>
      <c r="L79" s="15">
        <v>2599.77</v>
      </c>
      <c r="M79" s="15">
        <v>2599.77</v>
      </c>
      <c r="N79" s="15">
        <v>1088.8800000000001</v>
      </c>
    </row>
    <row r="80" spans="1:14" x14ac:dyDescent="0.25">
      <c r="A80" s="10" t="s">
        <v>242</v>
      </c>
      <c r="B80" s="15">
        <v>872.87</v>
      </c>
      <c r="C80" s="15">
        <v>872.87</v>
      </c>
      <c r="D80" s="15">
        <v>872.87</v>
      </c>
      <c r="E80" s="15">
        <v>872.87</v>
      </c>
      <c r="F80" s="15">
        <v>872.87</v>
      </c>
      <c r="G80" s="15">
        <v>872.87</v>
      </c>
      <c r="H80" s="15">
        <v>872.87</v>
      </c>
      <c r="I80" s="15">
        <v>872.87</v>
      </c>
      <c r="J80" s="15">
        <v>1198.02</v>
      </c>
      <c r="K80" s="15">
        <v>1035.45</v>
      </c>
      <c r="L80" s="15">
        <v>1035.45</v>
      </c>
      <c r="M80" s="15">
        <v>1841.81</v>
      </c>
      <c r="N80" s="15">
        <v>1035.45</v>
      </c>
    </row>
    <row r="81" spans="1:14" x14ac:dyDescent="0.25">
      <c r="A81" s="10" t="s">
        <v>244</v>
      </c>
      <c r="B81" s="15">
        <v>1311.14</v>
      </c>
      <c r="C81" s="15">
        <v>1311.14</v>
      </c>
      <c r="D81" s="15">
        <v>1311.14</v>
      </c>
      <c r="E81" s="15">
        <v>1311.14</v>
      </c>
      <c r="F81" s="15">
        <v>1311.14</v>
      </c>
      <c r="G81" s="15">
        <v>1311.14</v>
      </c>
      <c r="H81" s="15">
        <v>1311.14</v>
      </c>
      <c r="I81" s="15">
        <v>1311.14</v>
      </c>
      <c r="J81" s="15">
        <v>1578.09</v>
      </c>
      <c r="K81" s="15">
        <v>1444.61</v>
      </c>
      <c r="L81" s="15">
        <v>1444.61</v>
      </c>
      <c r="M81" s="15">
        <v>1444.61</v>
      </c>
      <c r="N81" s="15">
        <v>1444.61</v>
      </c>
    </row>
    <row r="82" spans="1:14" x14ac:dyDescent="0.25">
      <c r="A82" s="10" t="s">
        <v>246</v>
      </c>
      <c r="B82" s="15">
        <v>2823.64</v>
      </c>
      <c r="C82" s="15">
        <v>2823.64</v>
      </c>
      <c r="D82" s="15">
        <v>2823.64</v>
      </c>
      <c r="E82" s="15">
        <v>2823.64</v>
      </c>
      <c r="F82" s="15">
        <v>2823.64</v>
      </c>
      <c r="G82" s="15">
        <v>2823.64</v>
      </c>
      <c r="H82" s="15">
        <v>2823.64</v>
      </c>
      <c r="I82" s="15">
        <v>2823.64</v>
      </c>
      <c r="J82" s="15">
        <v>3263.31</v>
      </c>
      <c r="K82" s="15">
        <v>3043.48</v>
      </c>
      <c r="L82" s="15">
        <v>3043.48</v>
      </c>
      <c r="M82" s="15">
        <v>601.58000000000004</v>
      </c>
      <c r="N82" s="15">
        <v>3043.48</v>
      </c>
    </row>
    <row r="83" spans="1:14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325.07</v>
      </c>
      <c r="G83" s="15">
        <v>1448.64</v>
      </c>
      <c r="H83" s="15">
        <v>1448.64</v>
      </c>
      <c r="I83" s="15">
        <v>1448.64</v>
      </c>
      <c r="J83" s="15">
        <v>1554.57</v>
      </c>
      <c r="K83" s="15">
        <v>1501.61</v>
      </c>
      <c r="L83" s="15">
        <v>1501.61</v>
      </c>
      <c r="M83" s="15">
        <v>1501.61</v>
      </c>
      <c r="N83" s="15">
        <v>658.95</v>
      </c>
    </row>
    <row r="84" spans="1:14" x14ac:dyDescent="0.25">
      <c r="A84" s="10" t="s">
        <v>250</v>
      </c>
      <c r="B84" s="15">
        <v>6655.8</v>
      </c>
      <c r="C84" s="15">
        <v>6603.66</v>
      </c>
      <c r="D84" s="15">
        <v>25165.96</v>
      </c>
      <c r="E84" s="15">
        <v>6603.66</v>
      </c>
      <c r="F84" s="15">
        <v>12314.89</v>
      </c>
      <c r="G84" s="15">
        <v>4616.87</v>
      </c>
      <c r="H84" s="15">
        <v>7944.37</v>
      </c>
      <c r="I84" s="15">
        <v>7958.39</v>
      </c>
      <c r="J84" s="15">
        <v>9514.7800000000007</v>
      </c>
      <c r="K84" s="15">
        <v>8736.59</v>
      </c>
      <c r="L84" s="15">
        <v>8736.59</v>
      </c>
      <c r="M84" s="15">
        <v>8736.59</v>
      </c>
      <c r="N84" s="15">
        <v>8736.59</v>
      </c>
    </row>
    <row r="85" spans="1:14" x14ac:dyDescent="0.25">
      <c r="A85" s="10" t="s">
        <v>252</v>
      </c>
      <c r="B85" s="15">
        <v>7857.89</v>
      </c>
      <c r="C85" s="15">
        <v>7857.89</v>
      </c>
      <c r="D85" s="15">
        <v>39841.19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1935.06</v>
      </c>
    </row>
    <row r="86" spans="1:14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3269.37</v>
      </c>
      <c r="F86" s="15">
        <v>5469.37</v>
      </c>
      <c r="G86" s="15">
        <v>5469.37</v>
      </c>
      <c r="H86" s="15">
        <v>5469.37</v>
      </c>
      <c r="I86" s="15">
        <v>5469.37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5">
      <c r="A87" s="10" t="s">
        <v>256</v>
      </c>
      <c r="B87" s="15">
        <v>7442.69</v>
      </c>
      <c r="C87" s="15">
        <v>7442.69</v>
      </c>
      <c r="D87" s="15">
        <v>38644.839999999997</v>
      </c>
      <c r="E87" s="15">
        <v>3288.2</v>
      </c>
      <c r="F87" s="15">
        <v>7693.01</v>
      </c>
      <c r="G87" s="15">
        <v>7693.01</v>
      </c>
      <c r="H87" s="15">
        <v>7693.01</v>
      </c>
      <c r="I87" s="15">
        <v>7693.01</v>
      </c>
      <c r="J87" s="15">
        <v>9203.9699999999993</v>
      </c>
      <c r="K87" s="15">
        <v>8448.49</v>
      </c>
      <c r="L87" s="15">
        <v>8448.49</v>
      </c>
      <c r="M87" s="15">
        <v>8448.49</v>
      </c>
      <c r="N87" s="15">
        <v>8448.49</v>
      </c>
    </row>
    <row r="88" spans="1:14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1567.23</v>
      </c>
      <c r="N88" s="15">
        <v>0</v>
      </c>
    </row>
    <row r="89" spans="1:14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47.03</v>
      </c>
      <c r="N89" s="15">
        <v>0</v>
      </c>
    </row>
    <row r="90" spans="1:14" x14ac:dyDescent="0.25">
      <c r="A90" s="10" t="s">
        <v>262</v>
      </c>
      <c r="B90" s="15">
        <v>3800.46</v>
      </c>
      <c r="C90" s="15">
        <v>3800.46</v>
      </c>
      <c r="D90" s="15">
        <v>3800.46</v>
      </c>
      <c r="E90" s="15">
        <v>3800.46</v>
      </c>
      <c r="F90" s="15">
        <v>5326.71</v>
      </c>
      <c r="G90" s="15">
        <v>3800.46</v>
      </c>
      <c r="H90" s="15">
        <v>3800.46</v>
      </c>
      <c r="I90" s="15">
        <v>3800.46</v>
      </c>
      <c r="J90" s="15">
        <v>4525.93</v>
      </c>
      <c r="K90" s="15">
        <v>4163.2</v>
      </c>
      <c r="L90" s="15">
        <v>4163.2</v>
      </c>
      <c r="M90" s="15">
        <v>4244.3100000000004</v>
      </c>
      <c r="N90" s="15">
        <v>4163.2</v>
      </c>
    </row>
    <row r="91" spans="1:14" x14ac:dyDescent="0.25">
      <c r="A91" s="10" t="s">
        <v>264</v>
      </c>
      <c r="B91" s="15">
        <v>879.73</v>
      </c>
      <c r="C91" s="15">
        <v>879.73</v>
      </c>
      <c r="D91" s="15">
        <v>879.73</v>
      </c>
      <c r="E91" s="15">
        <v>879.73</v>
      </c>
      <c r="F91" s="15">
        <v>879.73</v>
      </c>
      <c r="G91" s="15">
        <v>879.73</v>
      </c>
      <c r="H91" s="15">
        <v>879.73</v>
      </c>
      <c r="I91" s="15">
        <v>879.73</v>
      </c>
      <c r="J91" s="15">
        <v>1144.56</v>
      </c>
      <c r="K91" s="15">
        <v>2755.92</v>
      </c>
      <c r="L91" s="15">
        <v>0</v>
      </c>
      <c r="M91" s="15">
        <v>1012.14</v>
      </c>
      <c r="N91" s="15">
        <v>1012.14</v>
      </c>
    </row>
    <row r="92" spans="1:14" x14ac:dyDescent="0.25">
      <c r="A92" s="10" t="s">
        <v>266</v>
      </c>
      <c r="B92" s="15">
        <v>6960.79</v>
      </c>
      <c r="C92" s="15">
        <v>1161.7</v>
      </c>
      <c r="D92" s="15">
        <v>8253.93</v>
      </c>
      <c r="E92" s="15">
        <v>3721.93</v>
      </c>
      <c r="F92" s="15">
        <v>3721.93</v>
      </c>
      <c r="G92" s="15">
        <v>3721.93</v>
      </c>
      <c r="H92" s="15">
        <v>3721.93</v>
      </c>
      <c r="I92" s="15">
        <v>3721.93</v>
      </c>
      <c r="J92" s="15">
        <v>4543.76</v>
      </c>
      <c r="K92" s="15">
        <v>4132.84</v>
      </c>
      <c r="L92" s="15">
        <v>4132.84</v>
      </c>
      <c r="M92" s="15">
        <v>4132.84</v>
      </c>
      <c r="N92" s="15">
        <v>4132.84</v>
      </c>
    </row>
    <row r="93" spans="1:14" x14ac:dyDescent="0.25">
      <c r="A93" s="10" t="s">
        <v>268</v>
      </c>
      <c r="B93" s="15">
        <v>6003.29</v>
      </c>
      <c r="C93" s="15">
        <v>6003.29</v>
      </c>
      <c r="D93" s="15">
        <v>23878.29</v>
      </c>
      <c r="E93" s="15">
        <v>6003.29</v>
      </c>
      <c r="F93" s="15">
        <v>6003.29</v>
      </c>
      <c r="G93" s="15">
        <v>7223.64</v>
      </c>
      <c r="H93" s="15">
        <v>7223.64</v>
      </c>
      <c r="I93" s="15">
        <v>7223.64</v>
      </c>
      <c r="J93" s="15">
        <v>8636.0400000000009</v>
      </c>
      <c r="K93" s="15">
        <v>7929.84</v>
      </c>
      <c r="L93" s="15">
        <v>7929.84</v>
      </c>
      <c r="M93" s="15">
        <v>18845.080000000002</v>
      </c>
      <c r="N93" s="15">
        <v>7929.84</v>
      </c>
    </row>
    <row r="94" spans="1:14" x14ac:dyDescent="0.25">
      <c r="A94" s="10" t="s">
        <v>270</v>
      </c>
      <c r="B94" s="15">
        <v>1154.32</v>
      </c>
      <c r="C94" s="15">
        <v>1154.32</v>
      </c>
      <c r="D94" s="15">
        <v>1154.32</v>
      </c>
      <c r="E94" s="15">
        <v>1154.32</v>
      </c>
      <c r="F94" s="15">
        <v>1154.32</v>
      </c>
      <c r="G94" s="15">
        <v>2066.34</v>
      </c>
      <c r="H94" s="15">
        <v>55.44</v>
      </c>
      <c r="I94" s="15">
        <v>1154.32</v>
      </c>
      <c r="J94" s="15">
        <v>1527.65</v>
      </c>
      <c r="K94" s="15">
        <v>1340.98</v>
      </c>
      <c r="L94" s="15">
        <v>1340.98</v>
      </c>
      <c r="M94" s="15">
        <v>1340.98</v>
      </c>
      <c r="N94" s="15">
        <v>1340.98</v>
      </c>
    </row>
    <row r="95" spans="1:14" x14ac:dyDescent="0.25">
      <c r="A95" s="10" t="s">
        <v>272</v>
      </c>
      <c r="B95" s="15">
        <v>4243.03</v>
      </c>
      <c r="C95" s="15">
        <v>3665.53</v>
      </c>
      <c r="D95" s="15">
        <v>9341.5300000000007</v>
      </c>
      <c r="E95" s="15">
        <v>6975.13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502.85</v>
      </c>
    </row>
    <row r="96" spans="1:14" x14ac:dyDescent="0.25">
      <c r="A96" s="10" t="s">
        <v>274</v>
      </c>
      <c r="B96" s="15">
        <v>59.63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</row>
    <row r="97" spans="1:14" x14ac:dyDescent="0.25">
      <c r="A97" s="10" t="s">
        <v>276</v>
      </c>
      <c r="B97" s="15">
        <v>0</v>
      </c>
      <c r="C97" s="15">
        <v>0</v>
      </c>
      <c r="D97" s="15">
        <v>237.14</v>
      </c>
      <c r="E97" s="15">
        <v>237.14</v>
      </c>
      <c r="F97" s="15">
        <v>237.14</v>
      </c>
      <c r="G97" s="15">
        <v>237.14</v>
      </c>
      <c r="H97" s="15">
        <v>237.14</v>
      </c>
      <c r="I97" s="15">
        <v>237.14</v>
      </c>
      <c r="J97" s="15">
        <v>328.74</v>
      </c>
      <c r="K97" s="15">
        <v>280.58999999999997</v>
      </c>
      <c r="L97" s="15">
        <v>280.58999999999997</v>
      </c>
      <c r="M97" s="15">
        <v>280.58999999999997</v>
      </c>
      <c r="N97" s="15">
        <v>139.94</v>
      </c>
    </row>
    <row r="98" spans="1:14" x14ac:dyDescent="0.25">
      <c r="A98" s="10" t="s">
        <v>278</v>
      </c>
      <c r="B98" s="15">
        <v>393.04</v>
      </c>
      <c r="C98" s="15">
        <v>393.04</v>
      </c>
      <c r="D98" s="15">
        <v>3771.92</v>
      </c>
      <c r="E98" s="15">
        <v>393.04</v>
      </c>
      <c r="F98" s="15">
        <v>393.04</v>
      </c>
      <c r="G98" s="15">
        <v>528.76</v>
      </c>
      <c r="H98" s="15">
        <v>99.35</v>
      </c>
      <c r="I98" s="15">
        <v>424.84</v>
      </c>
      <c r="J98" s="15">
        <v>682.56</v>
      </c>
      <c r="K98" s="15">
        <v>553.70000000000005</v>
      </c>
      <c r="L98" s="15">
        <v>553.70000000000005</v>
      </c>
      <c r="M98" s="15">
        <v>553.70000000000005</v>
      </c>
      <c r="N98" s="15">
        <v>553.70000000000005</v>
      </c>
    </row>
    <row r="99" spans="1:14" x14ac:dyDescent="0.25">
      <c r="A99" s="10" t="s">
        <v>280</v>
      </c>
      <c r="B99" s="15">
        <v>945.37</v>
      </c>
      <c r="C99" s="15">
        <v>945.37</v>
      </c>
      <c r="D99" s="15">
        <v>945.37</v>
      </c>
      <c r="E99" s="15">
        <v>945.37</v>
      </c>
      <c r="F99" s="15">
        <v>945.37</v>
      </c>
      <c r="G99" s="15">
        <v>945.37</v>
      </c>
      <c r="H99" s="15">
        <v>945.37</v>
      </c>
      <c r="I99" s="15">
        <v>945.37</v>
      </c>
      <c r="J99" s="15">
        <v>1283.28</v>
      </c>
      <c r="K99" s="15">
        <v>1114.32</v>
      </c>
      <c r="L99" s="15">
        <v>1114.32</v>
      </c>
      <c r="M99" s="15">
        <v>1114.32</v>
      </c>
      <c r="N99" s="15">
        <v>1114.32</v>
      </c>
    </row>
    <row r="100" spans="1:14" x14ac:dyDescent="0.25">
      <c r="A100" s="10" t="s">
        <v>282</v>
      </c>
      <c r="B100" s="15">
        <v>1581.26</v>
      </c>
      <c r="C100" s="15">
        <v>1581.26</v>
      </c>
      <c r="D100" s="15">
        <v>4881.26</v>
      </c>
      <c r="E100" s="15">
        <v>1581.26</v>
      </c>
      <c r="F100" s="15">
        <v>1581.26</v>
      </c>
      <c r="G100" s="15">
        <v>1581.26</v>
      </c>
      <c r="H100" s="15">
        <v>2855.4</v>
      </c>
      <c r="I100" s="15">
        <v>68.36</v>
      </c>
      <c r="J100" s="15">
        <v>1896.95</v>
      </c>
      <c r="K100" s="15">
        <v>1818.03</v>
      </c>
      <c r="L100" s="15">
        <v>1818.03</v>
      </c>
      <c r="M100" s="15">
        <v>1818.03</v>
      </c>
      <c r="N100" s="15">
        <v>1818.03</v>
      </c>
    </row>
    <row r="101" spans="1:14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1540.31</v>
      </c>
      <c r="I101" s="15">
        <v>1723.64</v>
      </c>
      <c r="J101" s="15">
        <v>1762.69</v>
      </c>
      <c r="K101" s="15">
        <v>1743.17</v>
      </c>
      <c r="L101" s="15">
        <v>1743.17</v>
      </c>
      <c r="M101" s="15">
        <v>1743.17</v>
      </c>
      <c r="N101" s="15">
        <v>372.23</v>
      </c>
    </row>
    <row r="102" spans="1:14" x14ac:dyDescent="0.25">
      <c r="A102" s="10" t="s">
        <v>286</v>
      </c>
      <c r="B102" s="15">
        <v>4844.9799999999996</v>
      </c>
      <c r="C102" s="15">
        <v>4844.9799999999996</v>
      </c>
      <c r="D102" s="15">
        <v>11890.57</v>
      </c>
      <c r="E102" s="15">
        <v>4844.9799999999996</v>
      </c>
      <c r="F102" s="15">
        <v>4844.9799999999996</v>
      </c>
      <c r="G102" s="15">
        <v>4844.9799999999996</v>
      </c>
      <c r="H102" s="15">
        <v>11647.07</v>
      </c>
      <c r="I102" s="15">
        <v>0</v>
      </c>
      <c r="J102" s="15">
        <v>5387.51</v>
      </c>
      <c r="K102" s="15">
        <v>5347.56</v>
      </c>
      <c r="L102" s="15">
        <v>5347.56</v>
      </c>
      <c r="M102" s="15">
        <v>5347.56</v>
      </c>
      <c r="N102" s="15">
        <v>5347.56</v>
      </c>
    </row>
    <row r="103" spans="1:14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</row>
    <row r="104" spans="1:14" x14ac:dyDescent="0.25">
      <c r="A104" s="10" t="s">
        <v>290</v>
      </c>
      <c r="B104" s="15">
        <v>3373.64</v>
      </c>
      <c r="C104" s="15">
        <v>3373.64</v>
      </c>
      <c r="D104" s="15">
        <v>4693.6400000000003</v>
      </c>
      <c r="E104" s="15">
        <v>3373.64</v>
      </c>
      <c r="F104" s="15">
        <v>3373.64</v>
      </c>
      <c r="G104" s="15">
        <v>3373.64</v>
      </c>
      <c r="H104" s="15">
        <v>3373.64</v>
      </c>
      <c r="I104" s="15">
        <v>3373.64</v>
      </c>
      <c r="J104" s="15">
        <v>4001.08</v>
      </c>
      <c r="K104" s="15">
        <v>6274.72</v>
      </c>
      <c r="L104" s="15">
        <v>1801.88</v>
      </c>
      <c r="M104" s="15">
        <v>3687.36</v>
      </c>
      <c r="N104" s="15">
        <v>3687.36</v>
      </c>
    </row>
    <row r="105" spans="1:14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160.63</v>
      </c>
      <c r="H105" s="15">
        <v>160.63</v>
      </c>
      <c r="I105" s="15">
        <v>160.63</v>
      </c>
      <c r="J105" s="15">
        <v>177.81</v>
      </c>
      <c r="K105" s="15">
        <v>169.22</v>
      </c>
      <c r="L105" s="15">
        <v>169.22</v>
      </c>
      <c r="M105" s="15">
        <v>169.22</v>
      </c>
      <c r="N105" s="15">
        <v>0</v>
      </c>
    </row>
    <row r="106" spans="1:14" x14ac:dyDescent="0.25">
      <c r="A106" s="10" t="s">
        <v>294</v>
      </c>
      <c r="B106" s="15">
        <v>365.12</v>
      </c>
      <c r="C106" s="15">
        <v>365.12</v>
      </c>
      <c r="D106" s="15">
        <v>365.12</v>
      </c>
      <c r="E106" s="15">
        <v>365.12</v>
      </c>
      <c r="F106" s="15">
        <v>365.12</v>
      </c>
      <c r="G106" s="15">
        <v>365.12</v>
      </c>
      <c r="H106" s="15">
        <v>365.12</v>
      </c>
      <c r="I106" s="15">
        <v>365.12</v>
      </c>
      <c r="J106" s="15">
        <v>544.72</v>
      </c>
      <c r="K106" s="15">
        <v>446.68</v>
      </c>
      <c r="L106" s="15">
        <v>446.68</v>
      </c>
      <c r="M106" s="15">
        <v>446.68</v>
      </c>
      <c r="N106" s="15">
        <v>446.68</v>
      </c>
    </row>
    <row r="107" spans="1:14" x14ac:dyDescent="0.25">
      <c r="A107" s="10" t="s">
        <v>296</v>
      </c>
      <c r="B107" s="15">
        <v>365.12</v>
      </c>
      <c r="C107" s="15">
        <v>365.12</v>
      </c>
      <c r="D107" s="15">
        <v>365.12</v>
      </c>
      <c r="E107" s="15">
        <v>365.12</v>
      </c>
      <c r="F107" s="15">
        <v>365.12</v>
      </c>
      <c r="G107" s="15">
        <v>365.12</v>
      </c>
      <c r="H107" s="15">
        <v>365.12</v>
      </c>
      <c r="I107" s="15">
        <v>365.12</v>
      </c>
      <c r="J107" s="15">
        <v>544.72</v>
      </c>
      <c r="K107" s="15">
        <v>446.68</v>
      </c>
      <c r="L107" s="15">
        <v>446.68</v>
      </c>
      <c r="M107" s="15">
        <v>446.68</v>
      </c>
      <c r="N107" s="15">
        <v>446.68</v>
      </c>
    </row>
    <row r="108" spans="1:14" x14ac:dyDescent="0.25">
      <c r="A108" s="10" t="s">
        <v>298</v>
      </c>
      <c r="B108" s="15">
        <v>1603.03</v>
      </c>
      <c r="C108" s="15">
        <v>1603.03</v>
      </c>
      <c r="D108" s="15">
        <v>4804.03</v>
      </c>
      <c r="E108" s="15">
        <v>1603.03</v>
      </c>
      <c r="F108" s="15">
        <v>1603.03</v>
      </c>
      <c r="G108" s="15">
        <v>1603.03</v>
      </c>
      <c r="H108" s="15">
        <v>1603.03</v>
      </c>
      <c r="I108" s="15">
        <v>1603.03</v>
      </c>
      <c r="J108" s="15">
        <v>3016.62</v>
      </c>
      <c r="K108" s="15">
        <v>2786.91</v>
      </c>
      <c r="L108" s="15">
        <v>2786.91</v>
      </c>
      <c r="M108" s="15">
        <v>2786.91</v>
      </c>
      <c r="N108" s="15">
        <v>2786.91</v>
      </c>
    </row>
    <row r="109" spans="1:14" x14ac:dyDescent="0.25">
      <c r="A109" s="10" t="s">
        <v>300</v>
      </c>
      <c r="B109" s="15">
        <v>1101.69</v>
      </c>
      <c r="C109" s="15">
        <v>1101.69</v>
      </c>
      <c r="D109" s="15">
        <v>2804.13</v>
      </c>
      <c r="E109" s="15">
        <v>1101.69</v>
      </c>
      <c r="F109" s="15">
        <v>1101.69</v>
      </c>
      <c r="G109" s="15">
        <v>1997.92</v>
      </c>
      <c r="H109" s="15">
        <v>178.63</v>
      </c>
      <c r="I109" s="15">
        <v>1101.69</v>
      </c>
      <c r="J109" s="15">
        <v>1466.01</v>
      </c>
      <c r="K109" s="15">
        <v>1283.8499999999999</v>
      </c>
      <c r="L109" s="15">
        <v>1283.8499999999999</v>
      </c>
      <c r="M109" s="15">
        <v>1283.8499999999999</v>
      </c>
      <c r="N109" s="15">
        <v>1283.8499999999999</v>
      </c>
    </row>
    <row r="110" spans="1:14" x14ac:dyDescent="0.25">
      <c r="A110" s="10" t="s">
        <v>302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44.35</v>
      </c>
      <c r="H110" s="15">
        <v>0</v>
      </c>
      <c r="I110" s="15">
        <v>0</v>
      </c>
      <c r="J110" s="15">
        <v>24.1</v>
      </c>
      <c r="K110" s="15">
        <v>12.66</v>
      </c>
      <c r="L110" s="15">
        <v>12.66</v>
      </c>
      <c r="M110" s="15">
        <v>12.66</v>
      </c>
      <c r="N110" s="15">
        <v>12.66</v>
      </c>
    </row>
    <row r="111" spans="1:14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</row>
    <row r="112" spans="1:14" x14ac:dyDescent="0.25">
      <c r="A112" s="10" t="s">
        <v>306</v>
      </c>
      <c r="B112" s="15">
        <v>623.64</v>
      </c>
      <c r="C112" s="15">
        <v>623.64</v>
      </c>
      <c r="D112" s="15">
        <v>623.64</v>
      </c>
      <c r="E112" s="15">
        <v>623.64</v>
      </c>
      <c r="F112" s="15">
        <v>623.64</v>
      </c>
      <c r="G112" s="15">
        <v>623.64</v>
      </c>
      <c r="H112" s="15">
        <v>623.64</v>
      </c>
      <c r="I112" s="15">
        <v>1056.1600000000001</v>
      </c>
      <c r="J112" s="15">
        <v>731.77</v>
      </c>
      <c r="K112" s="15">
        <v>749.35</v>
      </c>
      <c r="L112" s="15">
        <v>749.35</v>
      </c>
      <c r="M112" s="15">
        <v>1511.24</v>
      </c>
      <c r="N112" s="15">
        <v>749.35</v>
      </c>
    </row>
    <row r="113" spans="1:14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</row>
    <row r="114" spans="1:14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755.99</v>
      </c>
      <c r="H114" s="15">
        <v>821.04</v>
      </c>
      <c r="I114" s="15">
        <v>821.04</v>
      </c>
      <c r="J114" s="15">
        <v>876.86</v>
      </c>
      <c r="K114" s="15">
        <v>848.95</v>
      </c>
      <c r="L114" s="15">
        <v>848.95</v>
      </c>
      <c r="M114" s="15">
        <v>848.95</v>
      </c>
      <c r="N114" s="15">
        <v>148.9</v>
      </c>
    </row>
    <row r="115" spans="1:14" x14ac:dyDescent="0.25">
      <c r="A115" s="10" t="s">
        <v>312</v>
      </c>
      <c r="B115" s="15">
        <v>318.45</v>
      </c>
      <c r="C115" s="15">
        <v>318.45</v>
      </c>
      <c r="D115" s="15">
        <v>318.45</v>
      </c>
      <c r="E115" s="15">
        <v>318.45</v>
      </c>
      <c r="F115" s="15">
        <v>357.39</v>
      </c>
      <c r="G115" s="15">
        <v>318.45</v>
      </c>
      <c r="H115" s="15">
        <v>357.39</v>
      </c>
      <c r="I115" s="15">
        <v>773.34</v>
      </c>
      <c r="J115" s="15">
        <v>27.15</v>
      </c>
      <c r="K115" s="15">
        <v>502.08</v>
      </c>
      <c r="L115" s="15">
        <v>449.94</v>
      </c>
      <c r="M115" s="15">
        <v>449.94</v>
      </c>
      <c r="N115" s="15">
        <v>375.8</v>
      </c>
    </row>
    <row r="116" spans="1:14" x14ac:dyDescent="0.25">
      <c r="A116" s="10" t="s">
        <v>314</v>
      </c>
      <c r="B116" s="15">
        <v>1121.6199999999999</v>
      </c>
      <c r="C116" s="15">
        <v>5202.8900000000003</v>
      </c>
      <c r="D116" s="15">
        <v>19893</v>
      </c>
      <c r="E116" s="15">
        <v>5202.8900000000003</v>
      </c>
      <c r="F116" s="15">
        <v>5202.8900000000003</v>
      </c>
      <c r="G116" s="15">
        <v>5202.8900000000003</v>
      </c>
      <c r="H116" s="15">
        <v>5202.8900000000003</v>
      </c>
      <c r="I116" s="15">
        <v>5202.8900000000003</v>
      </c>
      <c r="J116" s="15">
        <v>11268.27</v>
      </c>
      <c r="K116" s="15">
        <v>1318.25</v>
      </c>
      <c r="L116" s="15">
        <v>5745.04</v>
      </c>
      <c r="M116" s="15">
        <v>5745.04</v>
      </c>
      <c r="N116" s="15">
        <v>5745.04</v>
      </c>
    </row>
    <row r="117" spans="1:14" x14ac:dyDescent="0.25">
      <c r="A117" s="10" t="s">
        <v>316</v>
      </c>
      <c r="B117" s="15">
        <v>1031.6300000000001</v>
      </c>
      <c r="C117" s="15">
        <v>1031.6300000000001</v>
      </c>
      <c r="D117" s="15">
        <v>3069.25</v>
      </c>
      <c r="E117" s="15">
        <v>1031.6300000000001</v>
      </c>
      <c r="F117" s="15">
        <v>1031.6300000000001</v>
      </c>
      <c r="G117" s="15">
        <v>1031.6300000000001</v>
      </c>
      <c r="H117" s="15">
        <v>1031.6300000000001</v>
      </c>
      <c r="I117" s="15">
        <v>1840.82</v>
      </c>
      <c r="J117" s="15">
        <v>1233.93</v>
      </c>
      <c r="K117" s="15">
        <v>3837.78</v>
      </c>
      <c r="L117" s="15">
        <v>0</v>
      </c>
      <c r="M117" s="15">
        <v>976.74</v>
      </c>
      <c r="N117" s="15">
        <v>1918.89</v>
      </c>
    </row>
    <row r="118" spans="1:14" x14ac:dyDescent="0.25">
      <c r="A118" s="10" t="s">
        <v>318</v>
      </c>
      <c r="B118" s="15">
        <v>1325.17</v>
      </c>
      <c r="C118" s="15">
        <v>1325.17</v>
      </c>
      <c r="D118" s="15">
        <v>6000.17</v>
      </c>
      <c r="E118" s="15">
        <v>1325.17</v>
      </c>
      <c r="F118" s="15">
        <v>1325.17</v>
      </c>
      <c r="G118" s="15">
        <v>2389.06</v>
      </c>
      <c r="H118" s="15">
        <v>77.84</v>
      </c>
      <c r="I118" s="15">
        <v>1325.17</v>
      </c>
      <c r="J118" s="15">
        <v>1728.1</v>
      </c>
      <c r="K118" s="15">
        <v>1526.63</v>
      </c>
      <c r="L118" s="15">
        <v>1526.63</v>
      </c>
      <c r="M118" s="15">
        <v>1526.63</v>
      </c>
      <c r="N118" s="15">
        <v>1526.63</v>
      </c>
    </row>
    <row r="119" spans="1:14" x14ac:dyDescent="0.25">
      <c r="A119" s="10" t="s">
        <v>320</v>
      </c>
      <c r="B119" s="15">
        <v>0</v>
      </c>
      <c r="C119" s="15">
        <v>7203.1</v>
      </c>
      <c r="D119" s="15">
        <v>39423.370000000003</v>
      </c>
      <c r="E119" s="15">
        <v>7798.37</v>
      </c>
      <c r="F119" s="15">
        <v>7798.37</v>
      </c>
      <c r="G119" s="15">
        <v>7798.37</v>
      </c>
      <c r="H119" s="15">
        <v>7798.37</v>
      </c>
      <c r="I119" s="15">
        <v>7798.37</v>
      </c>
      <c r="J119" s="15">
        <v>9327.01</v>
      </c>
      <c r="K119" s="15">
        <v>8562.69</v>
      </c>
      <c r="L119" s="15">
        <v>8562.69</v>
      </c>
      <c r="M119" s="15">
        <v>8562.69</v>
      </c>
      <c r="N119" s="15">
        <v>8562.69</v>
      </c>
    </row>
    <row r="120" spans="1:14" x14ac:dyDescent="0.25">
      <c r="A120" s="10" t="s">
        <v>322</v>
      </c>
      <c r="B120" s="15">
        <v>2344.91</v>
      </c>
      <c r="C120" s="15">
        <v>706.14</v>
      </c>
      <c r="D120" s="15">
        <v>4418.6400000000003</v>
      </c>
      <c r="E120" s="15">
        <v>1448.64</v>
      </c>
      <c r="F120" s="15">
        <v>1448.64</v>
      </c>
      <c r="G120" s="15">
        <v>1448.64</v>
      </c>
      <c r="H120" s="15">
        <v>1448.64</v>
      </c>
      <c r="I120" s="15">
        <v>1448.64</v>
      </c>
      <c r="J120" s="15">
        <v>1872.36</v>
      </c>
      <c r="K120" s="15">
        <v>3381.12</v>
      </c>
      <c r="L120" s="15">
        <v>1959.04</v>
      </c>
      <c r="M120" s="15">
        <v>1959.04</v>
      </c>
      <c r="N120" s="15">
        <v>1959.04</v>
      </c>
    </row>
    <row r="121" spans="1:14" x14ac:dyDescent="0.25">
      <c r="A121" s="10" t="s">
        <v>324</v>
      </c>
      <c r="B121" s="15">
        <v>0</v>
      </c>
      <c r="C121" s="15">
        <v>0</v>
      </c>
      <c r="D121" s="15">
        <v>486.14</v>
      </c>
      <c r="E121" s="15">
        <v>486.14</v>
      </c>
      <c r="F121" s="15">
        <v>486.14</v>
      </c>
      <c r="G121" s="15">
        <v>486.14</v>
      </c>
      <c r="H121" s="15">
        <v>486.14</v>
      </c>
      <c r="I121" s="15">
        <v>486.14</v>
      </c>
      <c r="J121" s="15">
        <v>615.61</v>
      </c>
      <c r="K121" s="15">
        <v>550.88</v>
      </c>
      <c r="L121" s="15">
        <v>550.88</v>
      </c>
      <c r="M121" s="15">
        <v>550.88</v>
      </c>
      <c r="N121" s="15">
        <v>320.95999999999998</v>
      </c>
    </row>
    <row r="122" spans="1:14" x14ac:dyDescent="0.25">
      <c r="A122" s="10" t="s">
        <v>326</v>
      </c>
      <c r="B122" s="15">
        <v>792.99</v>
      </c>
      <c r="C122" s="15">
        <v>792.99</v>
      </c>
      <c r="D122" s="15">
        <v>792.99</v>
      </c>
      <c r="E122" s="15">
        <v>792.99</v>
      </c>
      <c r="F122" s="15">
        <v>792.99</v>
      </c>
      <c r="G122" s="15">
        <v>1378.04</v>
      </c>
      <c r="H122" s="15">
        <v>15.66</v>
      </c>
      <c r="I122" s="15">
        <v>792.99</v>
      </c>
      <c r="J122" s="15">
        <v>1113.74</v>
      </c>
      <c r="K122" s="15">
        <v>953.36</v>
      </c>
      <c r="L122" s="15">
        <v>953.36</v>
      </c>
      <c r="M122" s="15">
        <v>953.36</v>
      </c>
      <c r="N122" s="15">
        <v>953.36</v>
      </c>
    </row>
    <row r="123" spans="1:14" x14ac:dyDescent="0.25">
      <c r="A123" s="10" t="s">
        <v>328</v>
      </c>
      <c r="B123" s="15">
        <v>623.64</v>
      </c>
      <c r="C123" s="15">
        <v>623.64</v>
      </c>
      <c r="D123" s="15">
        <v>623.64</v>
      </c>
      <c r="E123" s="15">
        <v>623.64</v>
      </c>
      <c r="F123" s="15">
        <v>623.64</v>
      </c>
      <c r="G123" s="15">
        <v>623.64</v>
      </c>
      <c r="H123" s="15">
        <v>623.64</v>
      </c>
      <c r="I123" s="15">
        <v>623.64</v>
      </c>
      <c r="J123" s="15">
        <v>858.93</v>
      </c>
      <c r="K123" s="15">
        <v>741.29</v>
      </c>
      <c r="L123" s="15">
        <v>741.29</v>
      </c>
      <c r="M123" s="15">
        <v>741.29</v>
      </c>
      <c r="N123" s="15">
        <v>741.29</v>
      </c>
    </row>
    <row r="124" spans="1:14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0</v>
      </c>
      <c r="F124" s="15">
        <v>50.77</v>
      </c>
      <c r="G124" s="15">
        <v>50.77</v>
      </c>
      <c r="H124" s="15">
        <v>50.77</v>
      </c>
      <c r="I124" s="15">
        <v>50.77</v>
      </c>
      <c r="J124" s="15">
        <v>61.8</v>
      </c>
      <c r="K124" s="15">
        <v>56.29</v>
      </c>
      <c r="L124" s="15">
        <v>56.29</v>
      </c>
      <c r="M124" s="15">
        <v>56.29</v>
      </c>
      <c r="N124" s="15">
        <v>0</v>
      </c>
    </row>
    <row r="125" spans="1:14" x14ac:dyDescent="0.25">
      <c r="A125" s="10" t="s">
        <v>332</v>
      </c>
      <c r="B125" s="15">
        <v>3950.18</v>
      </c>
      <c r="C125" s="15">
        <v>3950.18</v>
      </c>
      <c r="D125" s="15">
        <v>10419.83</v>
      </c>
      <c r="E125" s="15">
        <v>3950.18</v>
      </c>
      <c r="F125" s="15">
        <v>3950.18</v>
      </c>
      <c r="G125" s="15">
        <v>3950.18</v>
      </c>
      <c r="H125" s="15">
        <v>3950.18</v>
      </c>
      <c r="I125" s="15">
        <v>4637.54</v>
      </c>
      <c r="J125" s="15">
        <v>4022.69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5">
      <c r="A126" s="10" t="s">
        <v>334</v>
      </c>
      <c r="B126" s="15">
        <v>3648.64</v>
      </c>
      <c r="C126" s="15">
        <v>3648.64</v>
      </c>
      <c r="D126" s="15">
        <v>6453.64</v>
      </c>
      <c r="E126" s="15">
        <v>3648.64</v>
      </c>
      <c r="F126" s="15">
        <v>3648.64</v>
      </c>
      <c r="G126" s="15">
        <v>3648.64</v>
      </c>
      <c r="H126" s="15">
        <v>3648.64</v>
      </c>
      <c r="I126" s="15">
        <v>3648.64</v>
      </c>
      <c r="J126" s="15">
        <v>4449</v>
      </c>
      <c r="K126" s="15">
        <v>4307.28</v>
      </c>
      <c r="L126" s="15">
        <v>4048.82</v>
      </c>
      <c r="M126" s="15">
        <v>4048.82</v>
      </c>
      <c r="N126" s="15">
        <v>4048.82</v>
      </c>
    </row>
    <row r="127" spans="1:14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924.53</v>
      </c>
      <c r="I127" s="15">
        <v>1067.6099999999999</v>
      </c>
      <c r="J127" s="15">
        <v>1098.08</v>
      </c>
      <c r="K127" s="15">
        <v>1082.8399999999999</v>
      </c>
      <c r="L127" s="15">
        <v>1082.8399999999999</v>
      </c>
      <c r="M127" s="15">
        <v>1082.8399999999999</v>
      </c>
      <c r="N127" s="15">
        <v>141.37</v>
      </c>
    </row>
    <row r="128" spans="1:14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62.12</v>
      </c>
      <c r="I128" s="15">
        <v>62.12</v>
      </c>
      <c r="J128" s="15">
        <v>65.03</v>
      </c>
      <c r="K128" s="15">
        <v>63.57</v>
      </c>
      <c r="L128" s="15">
        <v>63.57</v>
      </c>
      <c r="M128" s="15">
        <v>63.57</v>
      </c>
      <c r="N128" s="15">
        <v>0</v>
      </c>
    </row>
    <row r="129" spans="1:14" x14ac:dyDescent="0.25">
      <c r="A129" s="10" t="s">
        <v>340</v>
      </c>
      <c r="B129" s="15">
        <v>1083.92</v>
      </c>
      <c r="C129" s="15">
        <v>4985.53</v>
      </c>
      <c r="D129" s="15">
        <v>12245.53</v>
      </c>
      <c r="E129" s="15">
        <v>4985.53</v>
      </c>
      <c r="F129" s="15">
        <v>4985.53</v>
      </c>
      <c r="G129" s="15">
        <v>4985.53</v>
      </c>
      <c r="H129" s="15">
        <v>4985.53</v>
      </c>
      <c r="I129" s="15">
        <v>4985.53</v>
      </c>
      <c r="J129" s="15">
        <v>6024.04</v>
      </c>
      <c r="K129" s="15">
        <v>5504.79</v>
      </c>
      <c r="L129" s="15">
        <v>5504.79</v>
      </c>
      <c r="M129" s="15">
        <v>10278.1</v>
      </c>
      <c r="N129" s="15">
        <v>5504.79</v>
      </c>
    </row>
    <row r="130" spans="1:14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</row>
    <row r="131" spans="1:14" x14ac:dyDescent="0.25">
      <c r="A131" s="10" t="s">
        <v>344</v>
      </c>
      <c r="B131" s="15">
        <v>1606.74</v>
      </c>
      <c r="C131" s="15">
        <v>1606.74</v>
      </c>
      <c r="D131" s="15">
        <v>4828.91</v>
      </c>
      <c r="E131" s="15">
        <v>1606.74</v>
      </c>
      <c r="F131" s="15">
        <v>1696.24</v>
      </c>
      <c r="G131" s="15">
        <v>1606.74</v>
      </c>
      <c r="H131" s="15">
        <v>1696.24</v>
      </c>
      <c r="I131" s="15">
        <v>1606.74</v>
      </c>
      <c r="J131" s="15">
        <v>2066.4499999999998</v>
      </c>
      <c r="K131" s="15">
        <v>1836.59</v>
      </c>
      <c r="L131" s="15">
        <v>1836.59</v>
      </c>
      <c r="M131" s="15">
        <v>1836.59</v>
      </c>
      <c r="N131" s="15">
        <v>1836.59</v>
      </c>
    </row>
    <row r="132" spans="1:14" x14ac:dyDescent="0.25">
      <c r="A132" s="10" t="s">
        <v>346</v>
      </c>
      <c r="B132" s="15">
        <v>1706.36</v>
      </c>
      <c r="C132" s="15">
        <v>1706.36</v>
      </c>
      <c r="D132" s="15">
        <v>5427.96</v>
      </c>
      <c r="E132" s="15">
        <v>2034.29</v>
      </c>
      <c r="F132" s="15">
        <v>2252.9</v>
      </c>
      <c r="G132" s="15">
        <v>2252.9</v>
      </c>
      <c r="H132" s="15">
        <v>2252.9</v>
      </c>
      <c r="I132" s="15">
        <v>2252.9</v>
      </c>
      <c r="J132" s="15">
        <v>2814.31</v>
      </c>
      <c r="K132" s="15">
        <v>2533.61</v>
      </c>
      <c r="L132" s="15">
        <v>2533.61</v>
      </c>
      <c r="M132" s="15">
        <v>2533.61</v>
      </c>
      <c r="N132" s="15">
        <v>2533.61</v>
      </c>
    </row>
    <row r="133" spans="1:14" x14ac:dyDescent="0.25">
      <c r="A133" s="10" t="s">
        <v>348</v>
      </c>
      <c r="B133" s="15">
        <v>0</v>
      </c>
      <c r="C133" s="15">
        <v>1096.95</v>
      </c>
      <c r="D133" s="15">
        <v>1096.95</v>
      </c>
      <c r="E133" s="15">
        <v>1096.95</v>
      </c>
      <c r="F133" s="15">
        <v>1096.95</v>
      </c>
      <c r="G133" s="15">
        <v>1096.95</v>
      </c>
      <c r="H133" s="15">
        <v>1096.95</v>
      </c>
      <c r="I133" s="15">
        <v>1096.95</v>
      </c>
      <c r="J133" s="15">
        <v>1479.01</v>
      </c>
      <c r="K133" s="15">
        <v>1287.98</v>
      </c>
      <c r="L133" s="15">
        <v>1287.98</v>
      </c>
      <c r="M133" s="15">
        <v>3382.16</v>
      </c>
      <c r="N133" s="15">
        <v>1287.98</v>
      </c>
    </row>
    <row r="134" spans="1:14" x14ac:dyDescent="0.25">
      <c r="A134" s="10" t="s">
        <v>350</v>
      </c>
      <c r="B134" s="15">
        <v>309.24</v>
      </c>
      <c r="C134" s="15">
        <v>514.66</v>
      </c>
      <c r="D134" s="15">
        <v>0</v>
      </c>
      <c r="E134" s="15">
        <v>531.55999999999995</v>
      </c>
      <c r="F134" s="15">
        <v>531.55999999999995</v>
      </c>
      <c r="G134" s="15">
        <v>531.55999999999995</v>
      </c>
      <c r="H134" s="15">
        <v>531.55999999999995</v>
      </c>
      <c r="I134" s="15">
        <v>531.55999999999995</v>
      </c>
      <c r="J134" s="15">
        <v>798.27</v>
      </c>
      <c r="K134" s="15">
        <v>664.92</v>
      </c>
      <c r="L134" s="15">
        <v>664.92</v>
      </c>
      <c r="M134" s="15">
        <v>664.92</v>
      </c>
      <c r="N134" s="15">
        <v>664.92</v>
      </c>
    </row>
    <row r="135" spans="1:14" x14ac:dyDescent="0.25">
      <c r="A135" s="10" t="s">
        <v>352</v>
      </c>
      <c r="B135" s="15">
        <v>1156.74</v>
      </c>
      <c r="C135" s="15">
        <v>1156.74</v>
      </c>
      <c r="D135" s="15">
        <v>1156.74</v>
      </c>
      <c r="E135" s="15">
        <v>1940.1</v>
      </c>
      <c r="F135" s="15">
        <v>429.04</v>
      </c>
      <c r="G135" s="15">
        <v>1156.74</v>
      </c>
      <c r="H135" s="15">
        <v>1156.74</v>
      </c>
      <c r="I135" s="15">
        <v>1156.74</v>
      </c>
      <c r="J135" s="15">
        <v>1530.49</v>
      </c>
      <c r="K135" s="15">
        <v>1343.62</v>
      </c>
      <c r="L135" s="15">
        <v>1343.62</v>
      </c>
      <c r="M135" s="15">
        <v>1343.62</v>
      </c>
      <c r="N135" s="15">
        <v>1343.62</v>
      </c>
    </row>
    <row r="136" spans="1:14" x14ac:dyDescent="0.25">
      <c r="A136" s="10" t="s">
        <v>354</v>
      </c>
      <c r="B136" s="15">
        <v>2771.51</v>
      </c>
      <c r="C136" s="15">
        <v>2771.51</v>
      </c>
      <c r="D136" s="15">
        <v>14526.35</v>
      </c>
      <c r="E136" s="15">
        <v>0</v>
      </c>
      <c r="F136" s="15">
        <v>2771.51</v>
      </c>
      <c r="G136" s="15">
        <v>2771.51</v>
      </c>
      <c r="H136" s="15">
        <v>2771.51</v>
      </c>
      <c r="I136" s="15">
        <v>2771.51</v>
      </c>
      <c r="J136" s="15">
        <v>3430.63</v>
      </c>
      <c r="K136" s="15">
        <v>5337.45</v>
      </c>
      <c r="L136" s="15">
        <v>2961.75</v>
      </c>
      <c r="M136" s="15">
        <v>3101.07</v>
      </c>
      <c r="N136" s="15">
        <v>3101.07</v>
      </c>
    </row>
    <row r="137" spans="1:14" x14ac:dyDescent="0.25">
      <c r="A137" s="10" t="s">
        <v>356</v>
      </c>
      <c r="B137" s="15">
        <v>2871.96</v>
      </c>
      <c r="C137" s="15">
        <v>2871.96</v>
      </c>
      <c r="D137" s="15">
        <v>3681.56</v>
      </c>
      <c r="E137" s="15">
        <v>2871.96</v>
      </c>
      <c r="F137" s="15">
        <v>4302.4799999999996</v>
      </c>
      <c r="G137" s="15">
        <v>1447.72</v>
      </c>
      <c r="H137" s="15">
        <v>2871.96</v>
      </c>
      <c r="I137" s="15">
        <v>2871.96</v>
      </c>
      <c r="J137" s="15">
        <v>3539.7</v>
      </c>
      <c r="K137" s="15">
        <v>3205.83</v>
      </c>
      <c r="L137" s="15">
        <v>3225.51</v>
      </c>
      <c r="M137" s="15">
        <v>3378.73</v>
      </c>
      <c r="N137" s="15">
        <v>3205.83</v>
      </c>
    </row>
    <row r="138" spans="1:14" x14ac:dyDescent="0.25">
      <c r="A138" s="10" t="s">
        <v>358</v>
      </c>
      <c r="B138" s="15">
        <v>135.38999999999999</v>
      </c>
      <c r="C138" s="15">
        <v>119.05</v>
      </c>
      <c r="D138" s="15">
        <v>151.72999999999999</v>
      </c>
      <c r="E138" s="15">
        <v>135.38999999999999</v>
      </c>
      <c r="F138" s="15">
        <v>135.38999999999999</v>
      </c>
      <c r="G138" s="15">
        <v>135.38999999999999</v>
      </c>
      <c r="H138" s="15">
        <v>135.38999999999999</v>
      </c>
      <c r="I138" s="15">
        <v>135.38999999999999</v>
      </c>
      <c r="J138" s="15">
        <v>225.03</v>
      </c>
      <c r="K138" s="15">
        <v>177.35</v>
      </c>
      <c r="L138" s="15">
        <v>177.35</v>
      </c>
      <c r="M138" s="15">
        <v>612.59</v>
      </c>
      <c r="N138" s="15">
        <v>177.35</v>
      </c>
    </row>
    <row r="139" spans="1:14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62.12</v>
      </c>
      <c r="I139" s="15">
        <v>62.12</v>
      </c>
      <c r="J139" s="15">
        <v>65.03</v>
      </c>
      <c r="K139" s="15">
        <v>63.57</v>
      </c>
      <c r="L139" s="15">
        <v>63.57</v>
      </c>
      <c r="M139" s="15">
        <v>63.57</v>
      </c>
      <c r="N139" s="15">
        <v>0</v>
      </c>
    </row>
    <row r="140" spans="1:14" x14ac:dyDescent="0.25">
      <c r="A140" s="10" t="s">
        <v>362</v>
      </c>
      <c r="B140" s="15">
        <v>1056.77</v>
      </c>
      <c r="C140" s="15">
        <v>1056.77</v>
      </c>
      <c r="D140" s="15">
        <v>1056.77</v>
      </c>
      <c r="E140" s="15">
        <v>1056.77</v>
      </c>
      <c r="F140" s="15">
        <v>1056.77</v>
      </c>
      <c r="G140" s="15">
        <v>1882.08</v>
      </c>
      <c r="H140" s="15">
        <v>46.57</v>
      </c>
      <c r="I140" s="15">
        <v>1757.26</v>
      </c>
      <c r="J140" s="15">
        <v>1284.19</v>
      </c>
      <c r="K140" s="15">
        <v>1284.19</v>
      </c>
      <c r="L140" s="15">
        <v>1284.19</v>
      </c>
      <c r="M140" s="15">
        <v>1284.19</v>
      </c>
      <c r="N140" s="15">
        <v>1284.19</v>
      </c>
    </row>
    <row r="141" spans="1:14" x14ac:dyDescent="0.25">
      <c r="A141" s="10" t="s">
        <v>364</v>
      </c>
      <c r="B141" s="15">
        <v>2279.5100000000002</v>
      </c>
      <c r="C141" s="15">
        <v>2279.5100000000002</v>
      </c>
      <c r="D141" s="15">
        <v>6229.73</v>
      </c>
      <c r="E141" s="15">
        <v>2279.5100000000002</v>
      </c>
      <c r="F141" s="15">
        <v>2837.67</v>
      </c>
      <c r="G141" s="15">
        <v>2837.67</v>
      </c>
      <c r="H141" s="15">
        <v>4446.0200000000004</v>
      </c>
      <c r="I141" s="15">
        <v>1682.67</v>
      </c>
      <c r="J141" s="15">
        <v>3400.26</v>
      </c>
      <c r="K141" s="15">
        <v>3168.6</v>
      </c>
      <c r="L141" s="15">
        <v>3168.6</v>
      </c>
      <c r="M141" s="15">
        <v>3168.6</v>
      </c>
      <c r="N141" s="15">
        <v>3168.6</v>
      </c>
    </row>
    <row r="142" spans="1:14" x14ac:dyDescent="0.25">
      <c r="A142" s="10" t="s">
        <v>366</v>
      </c>
      <c r="B142" s="15">
        <v>3098.64</v>
      </c>
      <c r="C142" s="15">
        <v>3098.64</v>
      </c>
      <c r="D142" s="15">
        <v>7223.64</v>
      </c>
      <c r="E142" s="15">
        <v>3098.64</v>
      </c>
      <c r="F142" s="15">
        <v>3098.64</v>
      </c>
      <c r="G142" s="15">
        <v>3098.64</v>
      </c>
      <c r="H142" s="15">
        <v>3098.64</v>
      </c>
      <c r="I142" s="15">
        <v>3098.64</v>
      </c>
      <c r="J142" s="15">
        <v>3686.87</v>
      </c>
      <c r="K142" s="15">
        <v>5273.06</v>
      </c>
      <c r="L142" s="15">
        <v>1625.11</v>
      </c>
      <c r="M142" s="15">
        <v>3392.76</v>
      </c>
      <c r="N142" s="15">
        <v>3392.76</v>
      </c>
    </row>
    <row r="143" spans="1:14" x14ac:dyDescent="0.25">
      <c r="A143" s="10" t="s">
        <v>368</v>
      </c>
      <c r="B143" s="15">
        <v>365.12</v>
      </c>
      <c r="C143" s="15">
        <v>365.12</v>
      </c>
      <c r="D143" s="15">
        <v>365.12</v>
      </c>
      <c r="E143" s="15">
        <v>365.12</v>
      </c>
      <c r="F143" s="15">
        <v>365.12</v>
      </c>
      <c r="G143" s="15">
        <v>365.12</v>
      </c>
      <c r="H143" s="15">
        <v>365.12</v>
      </c>
      <c r="I143" s="15">
        <v>365.12</v>
      </c>
      <c r="J143" s="15">
        <v>564.52</v>
      </c>
      <c r="K143" s="15">
        <v>456.58</v>
      </c>
      <c r="L143" s="15">
        <v>378.08</v>
      </c>
      <c r="M143" s="15">
        <v>268.08</v>
      </c>
      <c r="N143" s="15">
        <v>456.58</v>
      </c>
    </row>
    <row r="144" spans="1:14" x14ac:dyDescent="0.25">
      <c r="A144" s="10" t="s">
        <v>370</v>
      </c>
      <c r="B144" s="15">
        <v>409.73</v>
      </c>
      <c r="C144" s="15">
        <v>409.73</v>
      </c>
      <c r="D144" s="15">
        <v>1212.3800000000001</v>
      </c>
      <c r="E144" s="15">
        <v>409.73</v>
      </c>
      <c r="F144" s="15">
        <v>409.73</v>
      </c>
      <c r="G144" s="15">
        <v>409.73</v>
      </c>
      <c r="H144" s="15">
        <v>399.68</v>
      </c>
      <c r="I144" s="15">
        <v>409.73</v>
      </c>
      <c r="J144" s="15">
        <v>654.63</v>
      </c>
      <c r="K144" s="15">
        <v>531.77</v>
      </c>
      <c r="L144" s="15">
        <v>531.77</v>
      </c>
      <c r="M144" s="15">
        <v>547.16999999999996</v>
      </c>
      <c r="N144" s="15">
        <v>547.16999999999996</v>
      </c>
    </row>
    <row r="145" spans="1:14" x14ac:dyDescent="0.25">
      <c r="A145" s="10" t="s">
        <v>372</v>
      </c>
      <c r="B145" s="15">
        <v>1238.6300000000001</v>
      </c>
      <c r="C145" s="15">
        <v>327.05</v>
      </c>
      <c r="D145" s="15">
        <v>220.03</v>
      </c>
      <c r="E145" s="15">
        <v>327.05</v>
      </c>
      <c r="F145" s="15">
        <v>327.05</v>
      </c>
      <c r="G145" s="15">
        <v>327.05</v>
      </c>
      <c r="H145" s="15">
        <v>327.05</v>
      </c>
      <c r="I145" s="15">
        <v>327.05</v>
      </c>
      <c r="J145" s="15">
        <v>523.16</v>
      </c>
      <c r="K145" s="15">
        <v>410.43</v>
      </c>
      <c r="L145" s="15">
        <v>410.43</v>
      </c>
      <c r="M145" s="15">
        <v>410.43</v>
      </c>
      <c r="N145" s="15">
        <v>410.43</v>
      </c>
    </row>
    <row r="146" spans="1:14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898.64</v>
      </c>
      <c r="H146" s="15">
        <v>898.64</v>
      </c>
      <c r="I146" s="15">
        <v>898.64</v>
      </c>
      <c r="J146" s="15">
        <v>981.03</v>
      </c>
      <c r="K146" s="15">
        <v>939.84</v>
      </c>
      <c r="L146" s="15">
        <v>939.84</v>
      </c>
      <c r="M146" s="15">
        <v>939.84</v>
      </c>
      <c r="N146" s="15">
        <v>201.99</v>
      </c>
    </row>
    <row r="147" spans="1:14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0</v>
      </c>
      <c r="F147" s="15">
        <v>50.77</v>
      </c>
      <c r="G147" s="15">
        <v>50.77</v>
      </c>
      <c r="H147" s="15">
        <v>50.77</v>
      </c>
      <c r="I147" s="15">
        <v>50.77</v>
      </c>
      <c r="J147" s="15">
        <v>61.8</v>
      </c>
      <c r="K147" s="15">
        <v>56.29</v>
      </c>
      <c r="L147" s="15">
        <v>56.29</v>
      </c>
      <c r="M147" s="15">
        <v>56.29</v>
      </c>
      <c r="N147" s="15">
        <v>0</v>
      </c>
    </row>
    <row r="148" spans="1:14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1662.34</v>
      </c>
      <c r="H148" s="15">
        <v>2496.5100000000002</v>
      </c>
      <c r="I148" s="15">
        <v>2496.5100000000002</v>
      </c>
      <c r="J148" s="15">
        <v>2598.75</v>
      </c>
      <c r="K148" s="15">
        <v>2547.63</v>
      </c>
      <c r="L148" s="15">
        <v>2547.63</v>
      </c>
      <c r="M148" s="15">
        <v>2547.63</v>
      </c>
      <c r="N148" s="15">
        <v>1036.75</v>
      </c>
    </row>
    <row r="149" spans="1:14" x14ac:dyDescent="0.25">
      <c r="A149" s="10" t="s">
        <v>380</v>
      </c>
      <c r="B149" s="15">
        <v>0</v>
      </c>
      <c r="C149" s="15">
        <v>244.97</v>
      </c>
      <c r="D149" s="15">
        <v>2273.64</v>
      </c>
      <c r="E149" s="15">
        <v>2273.64</v>
      </c>
      <c r="F149" s="15">
        <v>2273.64</v>
      </c>
      <c r="G149" s="15">
        <v>2273.64</v>
      </c>
      <c r="H149" s="15">
        <v>2273.64</v>
      </c>
      <c r="I149" s="15">
        <v>2273.64</v>
      </c>
      <c r="J149" s="15">
        <v>2556.12</v>
      </c>
      <c r="K149" s="15">
        <v>2414.88</v>
      </c>
      <c r="L149" s="15">
        <v>2414.88</v>
      </c>
      <c r="M149" s="15">
        <v>2414.88</v>
      </c>
      <c r="N149" s="15">
        <v>1841.34</v>
      </c>
    </row>
    <row r="150" spans="1:14" x14ac:dyDescent="0.25">
      <c r="A150" s="10" t="s">
        <v>382</v>
      </c>
      <c r="B150" s="15">
        <v>179.2</v>
      </c>
      <c r="C150" s="15">
        <v>179.2</v>
      </c>
      <c r="D150" s="15">
        <v>179.2</v>
      </c>
      <c r="E150" s="15">
        <v>179.2</v>
      </c>
      <c r="F150" s="15">
        <v>179.2</v>
      </c>
      <c r="G150" s="15">
        <v>179.2</v>
      </c>
      <c r="H150" s="15">
        <v>179.2</v>
      </c>
      <c r="I150" s="15">
        <v>179.2</v>
      </c>
      <c r="J150" s="15">
        <v>302</v>
      </c>
      <c r="K150" s="15">
        <v>233.43</v>
      </c>
      <c r="L150" s="15">
        <v>233.43</v>
      </c>
      <c r="M150" s="15">
        <v>233.43</v>
      </c>
      <c r="N150" s="15">
        <v>233.43</v>
      </c>
    </row>
    <row r="151" spans="1:14" x14ac:dyDescent="0.25">
      <c r="A151" s="10" t="s">
        <v>384</v>
      </c>
      <c r="B151" s="15">
        <v>5067.79</v>
      </c>
      <c r="C151" s="15">
        <v>5067.79</v>
      </c>
      <c r="D151" s="15">
        <v>19660.099999999999</v>
      </c>
      <c r="E151" s="15">
        <v>5862.67</v>
      </c>
      <c r="F151" s="15">
        <v>5862.67</v>
      </c>
      <c r="G151" s="15">
        <v>6000.17</v>
      </c>
      <c r="H151" s="15">
        <v>6000.17</v>
      </c>
      <c r="I151" s="15">
        <v>6275.17</v>
      </c>
      <c r="J151" s="15">
        <v>7203.46</v>
      </c>
      <c r="K151" s="15">
        <v>6601.81</v>
      </c>
      <c r="L151" s="15">
        <v>12356.05</v>
      </c>
      <c r="M151" s="15">
        <v>1673.36</v>
      </c>
      <c r="N151" s="15">
        <v>6601.81</v>
      </c>
    </row>
    <row r="152" spans="1:14" x14ac:dyDescent="0.25">
      <c r="A152" s="10" t="s">
        <v>386</v>
      </c>
      <c r="B152" s="15">
        <v>1699.18</v>
      </c>
      <c r="C152" s="15">
        <v>1699.18</v>
      </c>
      <c r="D152" s="15">
        <v>3479.26</v>
      </c>
      <c r="E152" s="15">
        <v>1699.18</v>
      </c>
      <c r="F152" s="15">
        <v>2246.69</v>
      </c>
      <c r="G152" s="15">
        <v>2246.69</v>
      </c>
      <c r="H152" s="15">
        <v>2794.2</v>
      </c>
      <c r="I152" s="15">
        <v>2246.69</v>
      </c>
      <c r="J152" s="15">
        <v>2807.74</v>
      </c>
      <c r="K152" s="15">
        <v>2527.2199999999998</v>
      </c>
      <c r="L152" s="15">
        <v>3762.77</v>
      </c>
      <c r="M152" s="15">
        <v>1816.5</v>
      </c>
      <c r="N152" s="15">
        <v>2527.2199999999998</v>
      </c>
    </row>
    <row r="153" spans="1:14" x14ac:dyDescent="0.25">
      <c r="A153" s="10" t="s">
        <v>388</v>
      </c>
      <c r="B153" s="15">
        <v>0</v>
      </c>
      <c r="C153" s="15">
        <v>72.400000000000006</v>
      </c>
      <c r="D153" s="15">
        <v>72.400000000000006</v>
      </c>
      <c r="E153" s="15">
        <v>72.400000000000006</v>
      </c>
      <c r="F153" s="15">
        <v>72.400000000000006</v>
      </c>
      <c r="G153" s="15">
        <v>72.400000000000006</v>
      </c>
      <c r="H153" s="15">
        <v>72.400000000000006</v>
      </c>
      <c r="I153" s="15">
        <v>72.400000000000006</v>
      </c>
      <c r="J153" s="15">
        <v>115.03</v>
      </c>
      <c r="K153" s="15">
        <v>93.71</v>
      </c>
      <c r="L153" s="15">
        <v>93.71</v>
      </c>
      <c r="M153" s="15">
        <v>93.71</v>
      </c>
      <c r="N153" s="15">
        <v>62.77</v>
      </c>
    </row>
    <row r="154" spans="1:14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12.99</v>
      </c>
      <c r="G154" s="15">
        <v>69.06</v>
      </c>
      <c r="H154" s="15">
        <v>69.06</v>
      </c>
      <c r="I154" s="15">
        <v>69.06</v>
      </c>
      <c r="J154" s="15">
        <v>89.49</v>
      </c>
      <c r="K154" s="15">
        <v>79.2</v>
      </c>
      <c r="L154" s="15">
        <v>79.2</v>
      </c>
      <c r="M154" s="15">
        <v>79.2</v>
      </c>
      <c r="N154" s="15">
        <v>0</v>
      </c>
    </row>
    <row r="155" spans="1:14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669.47</v>
      </c>
      <c r="K155" s="15">
        <v>545.23</v>
      </c>
      <c r="L155" s="15">
        <v>545.23</v>
      </c>
      <c r="M155" s="15">
        <v>545.23</v>
      </c>
      <c r="N155" s="15">
        <v>545.23</v>
      </c>
    </row>
    <row r="156" spans="1:14" x14ac:dyDescent="0.25">
      <c r="A156" s="10" t="s">
        <v>394</v>
      </c>
      <c r="B156" s="15">
        <v>381.54</v>
      </c>
      <c r="C156" s="15">
        <v>381.54</v>
      </c>
      <c r="D156" s="15">
        <v>381.54</v>
      </c>
      <c r="E156" s="15">
        <v>381.54</v>
      </c>
      <c r="F156" s="15">
        <v>381.54</v>
      </c>
      <c r="G156" s="15">
        <v>381.54</v>
      </c>
      <c r="H156" s="15">
        <v>381.54</v>
      </c>
      <c r="I156" s="15">
        <v>381.54</v>
      </c>
      <c r="J156" s="15">
        <v>610.45000000000005</v>
      </c>
      <c r="K156" s="15">
        <v>490.82</v>
      </c>
      <c r="L156" s="15">
        <v>490.82</v>
      </c>
      <c r="M156" s="15">
        <v>610.78</v>
      </c>
      <c r="N156" s="15">
        <v>490.82</v>
      </c>
    </row>
    <row r="157" spans="1:14" x14ac:dyDescent="0.25">
      <c r="A157" s="10" t="s">
        <v>396</v>
      </c>
      <c r="B157" s="15">
        <v>131.56</v>
      </c>
      <c r="C157" s="15">
        <v>131.56</v>
      </c>
      <c r="D157" s="15">
        <v>239.31</v>
      </c>
      <c r="E157" s="15">
        <v>239.31</v>
      </c>
      <c r="F157" s="15">
        <v>764.8</v>
      </c>
      <c r="G157" s="15">
        <v>0</v>
      </c>
      <c r="H157" s="15">
        <v>239.31</v>
      </c>
      <c r="I157" s="15">
        <v>239.31</v>
      </c>
      <c r="J157" s="15">
        <v>389.19</v>
      </c>
      <c r="K157" s="15">
        <v>314.25</v>
      </c>
      <c r="L157" s="15">
        <v>314.25</v>
      </c>
      <c r="M157" s="15">
        <v>314.25</v>
      </c>
      <c r="N157" s="15">
        <v>314.25</v>
      </c>
    </row>
    <row r="158" spans="1:14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63.85</v>
      </c>
      <c r="H158" s="15">
        <v>570.02</v>
      </c>
      <c r="I158" s="15">
        <v>570.02</v>
      </c>
      <c r="J158" s="15">
        <v>615.66999999999996</v>
      </c>
      <c r="K158" s="15">
        <v>592.85</v>
      </c>
      <c r="L158" s="15">
        <v>592.85</v>
      </c>
      <c r="M158" s="15">
        <v>592.85</v>
      </c>
      <c r="N158" s="15">
        <v>103.72</v>
      </c>
    </row>
    <row r="159" spans="1:14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440.31</v>
      </c>
      <c r="F159" s="15">
        <v>1173.6400000000001</v>
      </c>
      <c r="G159" s="15">
        <v>1173.6400000000001</v>
      </c>
      <c r="H159" s="15">
        <v>1173.6400000000001</v>
      </c>
      <c r="I159" s="15">
        <v>1245.74</v>
      </c>
      <c r="J159" s="15">
        <v>1191.67</v>
      </c>
      <c r="K159" s="15">
        <v>1191.67</v>
      </c>
      <c r="L159" s="15">
        <v>1191.67</v>
      </c>
      <c r="M159" s="15">
        <v>1191.67</v>
      </c>
      <c r="N159" s="15">
        <v>637.16</v>
      </c>
    </row>
    <row r="160" spans="1:14" x14ac:dyDescent="0.25">
      <c r="A160" s="10" t="s">
        <v>402</v>
      </c>
      <c r="B160" s="15">
        <v>0</v>
      </c>
      <c r="C160" s="15">
        <v>0</v>
      </c>
      <c r="D160" s="15">
        <v>264.99</v>
      </c>
      <c r="E160" s="15">
        <v>264.99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</row>
    <row r="161" spans="1:14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179.2</v>
      </c>
      <c r="H161" s="15">
        <v>179.2</v>
      </c>
      <c r="I161" s="15">
        <v>179.2</v>
      </c>
      <c r="J161" s="15">
        <v>202.05</v>
      </c>
      <c r="K161" s="15">
        <v>190.62</v>
      </c>
      <c r="L161" s="15">
        <v>190.62</v>
      </c>
      <c r="M161" s="15">
        <v>190.62</v>
      </c>
      <c r="N161" s="15">
        <v>39</v>
      </c>
    </row>
    <row r="162" spans="1:14" x14ac:dyDescent="0.25">
      <c r="A162" s="10" t="s">
        <v>406</v>
      </c>
      <c r="B162" s="15">
        <v>57.45</v>
      </c>
      <c r="C162" s="15">
        <v>57.45</v>
      </c>
      <c r="D162" s="15">
        <v>57.45</v>
      </c>
      <c r="E162" s="15">
        <v>57.45</v>
      </c>
      <c r="F162" s="15">
        <v>57.45</v>
      </c>
      <c r="G162" s="15">
        <v>57.45</v>
      </c>
      <c r="H162" s="15">
        <v>57.45</v>
      </c>
      <c r="I162" s="15">
        <v>57.45</v>
      </c>
      <c r="J162" s="15">
        <v>97.12</v>
      </c>
      <c r="K162" s="15">
        <v>71.41</v>
      </c>
      <c r="L162" s="15">
        <v>71.41</v>
      </c>
      <c r="M162" s="15">
        <v>71.41</v>
      </c>
      <c r="N162" s="15">
        <v>71.41</v>
      </c>
    </row>
    <row r="163" spans="1:14" x14ac:dyDescent="0.25">
      <c r="A163" s="10" t="s">
        <v>408</v>
      </c>
      <c r="B163" s="15">
        <v>536.35</v>
      </c>
      <c r="C163" s="15">
        <v>536.35</v>
      </c>
      <c r="D163" s="15">
        <v>551.52</v>
      </c>
      <c r="E163" s="15">
        <v>551.52</v>
      </c>
      <c r="F163" s="15">
        <v>551.52</v>
      </c>
      <c r="G163" s="15">
        <v>551.52</v>
      </c>
      <c r="H163" s="15">
        <v>551.52</v>
      </c>
      <c r="I163" s="15">
        <v>1171.95</v>
      </c>
      <c r="J163" s="15">
        <v>1284.29</v>
      </c>
      <c r="K163" s="15">
        <v>475.56</v>
      </c>
      <c r="L163" s="15">
        <v>706.63</v>
      </c>
      <c r="M163" s="15">
        <v>706.63</v>
      </c>
      <c r="N163" s="15">
        <v>706.63</v>
      </c>
    </row>
    <row r="164" spans="1:14" x14ac:dyDescent="0.25">
      <c r="A164" s="10" t="s">
        <v>410</v>
      </c>
      <c r="B164" s="15">
        <v>0</v>
      </c>
      <c r="C164" s="15">
        <v>0</v>
      </c>
      <c r="D164" s="15">
        <v>224.94</v>
      </c>
      <c r="E164" s="15">
        <v>224.94</v>
      </c>
      <c r="F164" s="15">
        <v>224.94</v>
      </c>
      <c r="G164" s="15">
        <v>224.94</v>
      </c>
      <c r="H164" s="15">
        <v>224.94</v>
      </c>
      <c r="I164" s="15">
        <v>224.94</v>
      </c>
      <c r="J164" s="15">
        <v>286.42</v>
      </c>
      <c r="K164" s="15">
        <v>255.68</v>
      </c>
      <c r="L164" s="15">
        <v>255.68</v>
      </c>
      <c r="M164" s="15">
        <v>255.68</v>
      </c>
      <c r="N164" s="15">
        <v>140.65</v>
      </c>
    </row>
    <row r="165" spans="1:14" x14ac:dyDescent="0.25">
      <c r="A165" s="10" t="s">
        <v>412</v>
      </c>
      <c r="B165" s="15">
        <v>0</v>
      </c>
      <c r="C165" s="15">
        <v>0</v>
      </c>
      <c r="D165" s="15">
        <v>0</v>
      </c>
      <c r="E165" s="15">
        <v>846.51</v>
      </c>
      <c r="F165" s="15">
        <v>846.51</v>
      </c>
      <c r="G165" s="15">
        <v>846.51</v>
      </c>
      <c r="H165" s="15">
        <v>846.51</v>
      </c>
      <c r="I165" s="15">
        <v>846.51</v>
      </c>
      <c r="J165" s="15">
        <v>983.95</v>
      </c>
      <c r="K165" s="15">
        <v>915.23</v>
      </c>
      <c r="L165" s="15">
        <v>915.23</v>
      </c>
      <c r="M165" s="15">
        <v>915.23</v>
      </c>
      <c r="N165" s="15">
        <v>416.8</v>
      </c>
    </row>
    <row r="166" spans="1:14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14.85</v>
      </c>
      <c r="I166" s="15">
        <v>26.11</v>
      </c>
      <c r="J166" s="15">
        <v>28.51</v>
      </c>
      <c r="K166" s="15">
        <v>27.31</v>
      </c>
      <c r="L166" s="15">
        <v>27.31</v>
      </c>
      <c r="M166" s="15">
        <v>27.31</v>
      </c>
      <c r="N166" s="15">
        <v>0</v>
      </c>
    </row>
    <row r="167" spans="1:14" x14ac:dyDescent="0.25">
      <c r="A167" s="10" t="s">
        <v>416</v>
      </c>
      <c r="B167" s="15">
        <v>0</v>
      </c>
      <c r="C167" s="15">
        <v>0</v>
      </c>
      <c r="D167" s="15">
        <v>264.99</v>
      </c>
      <c r="E167" s="15">
        <v>264.99</v>
      </c>
      <c r="F167" s="15">
        <v>264.99</v>
      </c>
      <c r="G167" s="15">
        <v>264.99</v>
      </c>
      <c r="H167" s="15">
        <v>264.99</v>
      </c>
      <c r="I167" s="15">
        <v>264.99</v>
      </c>
      <c r="J167" s="15">
        <v>342.13</v>
      </c>
      <c r="K167" s="15">
        <v>303.56</v>
      </c>
      <c r="L167" s="15">
        <v>303.56</v>
      </c>
      <c r="M167" s="15">
        <v>303.56</v>
      </c>
      <c r="N167" s="15">
        <v>167.25</v>
      </c>
    </row>
    <row r="168" spans="1:14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72.400000000000006</v>
      </c>
      <c r="J168" s="15">
        <v>179.2</v>
      </c>
      <c r="K168" s="15">
        <v>179.2</v>
      </c>
      <c r="L168" s="15">
        <v>179.2</v>
      </c>
      <c r="M168" s="15">
        <v>179.2</v>
      </c>
      <c r="N168" s="15">
        <v>0</v>
      </c>
    </row>
    <row r="169" spans="1:14" x14ac:dyDescent="0.25">
      <c r="A169" s="10" t="s">
        <v>420</v>
      </c>
      <c r="B169" s="15">
        <v>1357.56</v>
      </c>
      <c r="C169" s="15">
        <v>794.98</v>
      </c>
      <c r="D169" s="15">
        <v>1250.31</v>
      </c>
      <c r="E169" s="15">
        <v>1250.31</v>
      </c>
      <c r="F169" s="15">
        <v>1250.31</v>
      </c>
      <c r="G169" s="15">
        <v>1250.31</v>
      </c>
      <c r="H169" s="15">
        <v>1250.31</v>
      </c>
      <c r="I169" s="15">
        <v>1250.31</v>
      </c>
      <c r="J169" s="15">
        <v>0</v>
      </c>
      <c r="K169" s="15">
        <v>0</v>
      </c>
      <c r="L169" s="15">
        <v>0</v>
      </c>
      <c r="M169" s="15">
        <v>0</v>
      </c>
      <c r="N169" s="15">
        <v>491.42</v>
      </c>
    </row>
    <row r="170" spans="1:14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43.78</v>
      </c>
      <c r="I170" s="15">
        <v>57.11</v>
      </c>
      <c r="J170" s="15">
        <v>59.95</v>
      </c>
      <c r="K170" s="15">
        <v>58.53</v>
      </c>
      <c r="L170" s="15">
        <v>58.53</v>
      </c>
      <c r="M170" s="15">
        <v>58.53</v>
      </c>
      <c r="N170" s="15">
        <v>0</v>
      </c>
    </row>
    <row r="171" spans="1:14" x14ac:dyDescent="0.25">
      <c r="A171" s="10" t="s">
        <v>424</v>
      </c>
      <c r="B171" s="15">
        <v>890.13</v>
      </c>
      <c r="C171" s="15">
        <v>890.13</v>
      </c>
      <c r="D171" s="15">
        <v>890.13</v>
      </c>
      <c r="E171" s="15">
        <v>905.78</v>
      </c>
      <c r="F171" s="15">
        <v>481.41</v>
      </c>
      <c r="G171" s="15">
        <v>890.13</v>
      </c>
      <c r="H171" s="15">
        <v>890.13</v>
      </c>
      <c r="I171" s="15">
        <v>890.13</v>
      </c>
      <c r="J171" s="15">
        <v>1490.77</v>
      </c>
      <c r="K171" s="15">
        <v>1326.54</v>
      </c>
      <c r="L171" s="15">
        <v>1326.54</v>
      </c>
      <c r="M171" s="15">
        <v>1326.54</v>
      </c>
      <c r="N171" s="15">
        <v>1326.54</v>
      </c>
    </row>
    <row r="172" spans="1:14" x14ac:dyDescent="0.25">
      <c r="A172" s="10" t="s">
        <v>426</v>
      </c>
      <c r="B172" s="15">
        <v>1052.58</v>
      </c>
      <c r="C172" s="15">
        <v>1052.58</v>
      </c>
      <c r="D172" s="15">
        <v>1052.58</v>
      </c>
      <c r="E172" s="15">
        <v>2295.0300000000002</v>
      </c>
      <c r="F172" s="15">
        <v>1052.58</v>
      </c>
      <c r="G172" s="15">
        <v>2798.14</v>
      </c>
      <c r="H172" s="15">
        <v>0</v>
      </c>
      <c r="I172" s="15">
        <v>913.99</v>
      </c>
      <c r="J172" s="15">
        <v>1396.64</v>
      </c>
      <c r="K172" s="15">
        <v>1230.54</v>
      </c>
      <c r="L172" s="15">
        <v>1230.54</v>
      </c>
      <c r="M172" s="15">
        <v>1230.54</v>
      </c>
      <c r="N172" s="15">
        <v>1230.54</v>
      </c>
    </row>
    <row r="173" spans="1:14" x14ac:dyDescent="0.25">
      <c r="A173" s="10" t="s">
        <v>428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  <c r="N173" s="15">
        <v>0</v>
      </c>
    </row>
    <row r="174" spans="1:14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13.6</v>
      </c>
      <c r="G174" s="15">
        <v>13.6</v>
      </c>
      <c r="H174" s="15">
        <v>13.6</v>
      </c>
      <c r="I174" s="15">
        <v>13.6</v>
      </c>
      <c r="J174" s="15">
        <v>16.989999999999998</v>
      </c>
      <c r="K174" s="15">
        <v>17.25</v>
      </c>
      <c r="L174" s="15">
        <v>17.25</v>
      </c>
      <c r="M174" s="15">
        <v>17.25</v>
      </c>
      <c r="N174" s="15">
        <v>0</v>
      </c>
    </row>
    <row r="175" spans="1:14" x14ac:dyDescent="0.25">
      <c r="A175" s="10" t="s">
        <v>432</v>
      </c>
      <c r="B175" s="15">
        <v>0</v>
      </c>
      <c r="C175" s="15">
        <v>0</v>
      </c>
      <c r="D175" s="15">
        <v>623.64</v>
      </c>
      <c r="E175" s="15">
        <v>623.64</v>
      </c>
      <c r="F175" s="15">
        <v>623.64</v>
      </c>
      <c r="G175" s="15">
        <v>623.64</v>
      </c>
      <c r="H175" s="15">
        <v>623.64</v>
      </c>
      <c r="I175" s="15">
        <v>623.64</v>
      </c>
      <c r="J175" s="15">
        <v>764.88</v>
      </c>
      <c r="K175" s="15">
        <v>694.26</v>
      </c>
      <c r="L175" s="15">
        <v>694.26</v>
      </c>
      <c r="M175" s="15">
        <v>694.26</v>
      </c>
      <c r="N175" s="15">
        <v>408.57</v>
      </c>
    </row>
    <row r="176" spans="1:14" x14ac:dyDescent="0.25">
      <c r="A176" s="10" t="s">
        <v>434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16.010000000000002</v>
      </c>
      <c r="J176" s="15">
        <v>0</v>
      </c>
      <c r="K176" s="15">
        <v>0</v>
      </c>
      <c r="L176" s="15">
        <v>24.74</v>
      </c>
      <c r="M176" s="15">
        <v>0</v>
      </c>
      <c r="N176" s="15">
        <v>0</v>
      </c>
    </row>
    <row r="177" spans="1:14" x14ac:dyDescent="0.25">
      <c r="A177" s="10" t="s">
        <v>436</v>
      </c>
      <c r="B177" s="15">
        <v>53.27</v>
      </c>
      <c r="C177" s="15">
        <v>53.27</v>
      </c>
      <c r="D177" s="15">
        <v>53.27</v>
      </c>
      <c r="E177" s="15">
        <v>183.88</v>
      </c>
      <c r="F177" s="15">
        <v>0</v>
      </c>
      <c r="G177" s="15">
        <v>53.27</v>
      </c>
      <c r="H177" s="15">
        <v>53.27</v>
      </c>
      <c r="I177" s="15">
        <v>53.27</v>
      </c>
      <c r="J177" s="15">
        <v>104.49</v>
      </c>
      <c r="K177" s="15">
        <v>70.92</v>
      </c>
      <c r="L177" s="15">
        <v>70.92</v>
      </c>
      <c r="M177" s="15">
        <v>70.92</v>
      </c>
      <c r="N177" s="15">
        <v>70.92</v>
      </c>
    </row>
    <row r="178" spans="1:14" x14ac:dyDescent="0.25">
      <c r="A178" s="10" t="s">
        <v>438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</row>
    <row r="179" spans="1:14" x14ac:dyDescent="0.25">
      <c r="A179" s="10" t="s">
        <v>440</v>
      </c>
      <c r="B179" s="15">
        <v>4246.96</v>
      </c>
      <c r="C179" s="15">
        <v>4246.96</v>
      </c>
      <c r="D179" s="15">
        <v>12483</v>
      </c>
      <c r="E179" s="15">
        <v>7603.73</v>
      </c>
      <c r="F179" s="15">
        <v>1792.62</v>
      </c>
      <c r="G179" s="15">
        <v>4246.96</v>
      </c>
      <c r="H179" s="15">
        <v>4246.96</v>
      </c>
      <c r="I179" s="15">
        <v>4246.96</v>
      </c>
      <c r="J179" s="15">
        <v>5150.1000000000004</v>
      </c>
      <c r="K179" s="15">
        <v>4698.53</v>
      </c>
      <c r="L179" s="15">
        <v>4698.53</v>
      </c>
      <c r="M179" s="15">
        <v>4698.53</v>
      </c>
      <c r="N179" s="15">
        <v>4698.53</v>
      </c>
    </row>
    <row r="180" spans="1:14" x14ac:dyDescent="0.25">
      <c r="A180" s="10" t="s">
        <v>442</v>
      </c>
      <c r="B180" s="15">
        <v>0</v>
      </c>
      <c r="C180" s="15">
        <v>0</v>
      </c>
      <c r="D180" s="15">
        <v>264.99</v>
      </c>
      <c r="E180" s="15">
        <v>264.99</v>
      </c>
      <c r="F180" s="15">
        <v>264.99</v>
      </c>
      <c r="G180" s="15">
        <v>264.99</v>
      </c>
      <c r="H180" s="15">
        <v>264.99</v>
      </c>
      <c r="I180" s="15">
        <v>264.99</v>
      </c>
      <c r="J180" s="15">
        <v>342.13</v>
      </c>
      <c r="K180" s="15">
        <v>303.56</v>
      </c>
      <c r="L180" s="15">
        <v>303.56</v>
      </c>
      <c r="M180" s="15">
        <v>303.56</v>
      </c>
      <c r="N180" s="15">
        <v>167.25</v>
      </c>
    </row>
    <row r="181" spans="1:14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28.73</v>
      </c>
      <c r="K181" s="15">
        <v>30.75</v>
      </c>
      <c r="L181" s="15">
        <v>30.75</v>
      </c>
      <c r="M181" s="15">
        <v>30.75</v>
      </c>
      <c r="N181" s="15">
        <v>0</v>
      </c>
    </row>
    <row r="182" spans="1:14" x14ac:dyDescent="0.25">
      <c r="A182" s="10" t="s">
        <v>446</v>
      </c>
      <c r="B182" s="15">
        <v>14.17</v>
      </c>
      <c r="C182" s="15">
        <v>14.17</v>
      </c>
      <c r="D182" s="15">
        <v>14.17</v>
      </c>
      <c r="E182" s="15">
        <v>14.17</v>
      </c>
      <c r="F182" s="15">
        <v>14.17</v>
      </c>
      <c r="G182" s="15">
        <v>14.17</v>
      </c>
      <c r="H182" s="15">
        <v>14.17</v>
      </c>
      <c r="I182" s="15">
        <v>14.17</v>
      </c>
      <c r="J182" s="15">
        <v>30.43</v>
      </c>
      <c r="K182" s="15">
        <v>0</v>
      </c>
      <c r="L182" s="15">
        <v>0</v>
      </c>
      <c r="M182" s="15">
        <v>0</v>
      </c>
      <c r="N182" s="15">
        <v>10.33</v>
      </c>
    </row>
    <row r="183" spans="1:14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  <c r="N183" s="15">
        <v>0</v>
      </c>
    </row>
    <row r="184" spans="1:14" x14ac:dyDescent="0.25">
      <c r="A184" s="10" t="s">
        <v>450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17.059999999999999</v>
      </c>
      <c r="K184" s="15">
        <v>69.73</v>
      </c>
      <c r="L184" s="15">
        <v>69.73</v>
      </c>
      <c r="M184" s="15">
        <v>69.73</v>
      </c>
      <c r="N184" s="15">
        <v>69.73</v>
      </c>
    </row>
    <row r="185" spans="1:14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</row>
    <row r="186" spans="1:14" x14ac:dyDescent="0.25">
      <c r="A186" s="10" t="s">
        <v>454</v>
      </c>
      <c r="B186" s="15">
        <v>179.2</v>
      </c>
      <c r="C186" s="15">
        <v>179.2</v>
      </c>
      <c r="D186" s="15">
        <v>179.2</v>
      </c>
      <c r="E186" s="15">
        <v>179.2</v>
      </c>
      <c r="F186" s="15">
        <v>179.2</v>
      </c>
      <c r="G186" s="15">
        <v>179.2</v>
      </c>
      <c r="H186" s="15">
        <v>179.2</v>
      </c>
      <c r="I186" s="15">
        <v>478.28</v>
      </c>
      <c r="J186" s="15">
        <v>0</v>
      </c>
      <c r="K186" s="15">
        <v>233.43</v>
      </c>
      <c r="L186" s="15">
        <v>233.43</v>
      </c>
      <c r="M186" s="15">
        <v>233.43</v>
      </c>
      <c r="N186" s="15">
        <v>233.43</v>
      </c>
    </row>
    <row r="187" spans="1:14" x14ac:dyDescent="0.25">
      <c r="A187" s="10" t="s">
        <v>456</v>
      </c>
      <c r="B187" s="15">
        <v>0</v>
      </c>
      <c r="C187" s="15">
        <v>0</v>
      </c>
      <c r="D187" s="15">
        <v>325.07</v>
      </c>
      <c r="E187" s="15">
        <v>325.07</v>
      </c>
      <c r="F187" s="15">
        <v>325.07</v>
      </c>
      <c r="G187" s="15">
        <v>325.07</v>
      </c>
      <c r="H187" s="15">
        <v>325.07</v>
      </c>
      <c r="I187" s="15">
        <v>325.07</v>
      </c>
      <c r="J187" s="15">
        <v>407.87</v>
      </c>
      <c r="K187" s="15">
        <v>366.2</v>
      </c>
      <c r="L187" s="15">
        <v>366.2</v>
      </c>
      <c r="M187" s="15">
        <v>366.2</v>
      </c>
      <c r="N187" s="15">
        <v>202.05</v>
      </c>
    </row>
    <row r="188" spans="1:14" x14ac:dyDescent="0.25">
      <c r="A188" s="10" t="s">
        <v>458</v>
      </c>
      <c r="B188" s="15">
        <v>0</v>
      </c>
      <c r="C188" s="15">
        <v>0</v>
      </c>
      <c r="D188" s="15">
        <v>179.2</v>
      </c>
      <c r="E188" s="15">
        <v>179.2</v>
      </c>
      <c r="F188" s="15">
        <v>179.2</v>
      </c>
      <c r="G188" s="15">
        <v>179.2</v>
      </c>
      <c r="H188" s="15">
        <v>179.2</v>
      </c>
      <c r="I188" s="15">
        <v>179.2</v>
      </c>
      <c r="J188" s="15">
        <v>222.06</v>
      </c>
      <c r="K188" s="15">
        <v>198.26</v>
      </c>
      <c r="L188" s="15">
        <v>198.26</v>
      </c>
      <c r="M188" s="15">
        <v>198.26</v>
      </c>
      <c r="N188" s="15">
        <v>106.08</v>
      </c>
    </row>
    <row r="189" spans="1:14" x14ac:dyDescent="0.25">
      <c r="A189" s="10" t="s">
        <v>460</v>
      </c>
      <c r="B189" s="15">
        <v>264.99</v>
      </c>
      <c r="C189" s="15">
        <v>264.99</v>
      </c>
      <c r="D189" s="15">
        <v>264.99</v>
      </c>
      <c r="E189" s="15">
        <v>264.99</v>
      </c>
      <c r="F189" s="15">
        <v>264.99</v>
      </c>
      <c r="G189" s="15">
        <v>264.99</v>
      </c>
      <c r="H189" s="15">
        <v>444.19</v>
      </c>
      <c r="I189" s="15">
        <v>0</v>
      </c>
      <c r="J189" s="15">
        <v>363.48</v>
      </c>
      <c r="K189" s="15">
        <v>342.13</v>
      </c>
      <c r="L189" s="15">
        <v>342.13</v>
      </c>
      <c r="M189" s="15">
        <v>342.13</v>
      </c>
      <c r="N189" s="15">
        <v>342.13</v>
      </c>
    </row>
    <row r="190" spans="1:14" x14ac:dyDescent="0.25">
      <c r="A190" s="10" t="s">
        <v>462</v>
      </c>
      <c r="B190" s="15">
        <v>84.98</v>
      </c>
      <c r="C190" s="15">
        <v>84.98</v>
      </c>
      <c r="D190" s="15">
        <v>392.83</v>
      </c>
      <c r="E190" s="15">
        <v>84.98</v>
      </c>
      <c r="F190" s="15">
        <v>785.29</v>
      </c>
      <c r="G190" s="15">
        <v>172.92</v>
      </c>
      <c r="H190" s="15">
        <v>172.92</v>
      </c>
      <c r="I190" s="15">
        <v>172.92</v>
      </c>
      <c r="J190" s="15">
        <v>290.98</v>
      </c>
      <c r="K190" s="15">
        <v>223.21</v>
      </c>
      <c r="L190" s="15">
        <v>223.21</v>
      </c>
      <c r="M190" s="15">
        <v>223.21</v>
      </c>
      <c r="N190" s="15">
        <v>223.21</v>
      </c>
    </row>
    <row r="191" spans="1:14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  <c r="N191" s="15">
        <v>0</v>
      </c>
    </row>
    <row r="192" spans="1:14" x14ac:dyDescent="0.25">
      <c r="A192" s="10" t="s">
        <v>466</v>
      </c>
      <c r="B192" s="15">
        <v>0</v>
      </c>
      <c r="C192" s="15">
        <v>14.17</v>
      </c>
      <c r="D192" s="15">
        <v>14.17</v>
      </c>
      <c r="E192" s="15">
        <v>14.17</v>
      </c>
      <c r="F192" s="15">
        <v>14.17</v>
      </c>
      <c r="G192" s="15">
        <v>14.17</v>
      </c>
      <c r="H192" s="15">
        <v>14.17</v>
      </c>
      <c r="I192" s="15">
        <v>14.17</v>
      </c>
      <c r="J192" s="15">
        <v>29.84</v>
      </c>
      <c r="K192" s="15">
        <v>22</v>
      </c>
      <c r="L192" s="15">
        <v>22</v>
      </c>
      <c r="M192" s="15">
        <v>22</v>
      </c>
      <c r="N192" s="15">
        <v>22</v>
      </c>
    </row>
    <row r="193" spans="1:14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>
        <v>0</v>
      </c>
    </row>
    <row r="194" spans="1:14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</row>
    <row r="195" spans="1:14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  <c r="N195" s="15">
        <v>0</v>
      </c>
    </row>
    <row r="196" spans="1:14" x14ac:dyDescent="0.25">
      <c r="A196" s="10" t="s">
        <v>474</v>
      </c>
      <c r="B196" s="15">
        <v>0</v>
      </c>
      <c r="C196" s="15">
        <v>0</v>
      </c>
      <c r="D196" s="15">
        <v>0</v>
      </c>
      <c r="E196" s="15">
        <v>0</v>
      </c>
      <c r="F196" s="15">
        <v>43.93</v>
      </c>
      <c r="G196" s="15">
        <v>0</v>
      </c>
      <c r="H196" s="15">
        <v>0</v>
      </c>
      <c r="I196" s="15">
        <v>0</v>
      </c>
      <c r="J196" s="15">
        <v>24.91</v>
      </c>
      <c r="K196" s="15">
        <v>12.66</v>
      </c>
      <c r="L196" s="15">
        <v>12.66</v>
      </c>
      <c r="M196" s="15">
        <v>12.66</v>
      </c>
      <c r="N196" s="15">
        <v>12.66</v>
      </c>
    </row>
    <row r="197" spans="1:14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2169.37</v>
      </c>
      <c r="N197" s="15">
        <v>0</v>
      </c>
    </row>
    <row r="198" spans="1:14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0</v>
      </c>
      <c r="F198" s="15">
        <v>29.01</v>
      </c>
      <c r="G198" s="15">
        <v>29.01</v>
      </c>
      <c r="H198" s="15">
        <v>29.01</v>
      </c>
      <c r="I198" s="15">
        <v>29.01</v>
      </c>
      <c r="J198" s="15">
        <v>40.42</v>
      </c>
      <c r="K198" s="15">
        <v>34.71</v>
      </c>
      <c r="L198" s="15">
        <v>34.71</v>
      </c>
      <c r="M198" s="15">
        <v>34.71</v>
      </c>
      <c r="N198" s="15">
        <v>0</v>
      </c>
    </row>
    <row r="199" spans="1:14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1292.23</v>
      </c>
      <c r="H199" s="15">
        <v>1292.23</v>
      </c>
      <c r="I199" s="15">
        <v>1292.23</v>
      </c>
      <c r="J199" s="15">
        <v>1363.02</v>
      </c>
      <c r="K199" s="15">
        <v>1327.62</v>
      </c>
      <c r="L199" s="15">
        <v>1327.62</v>
      </c>
      <c r="M199" s="15">
        <v>1327.62</v>
      </c>
      <c r="N199" s="15">
        <v>305.58999999999997</v>
      </c>
    </row>
    <row r="200" spans="1:14" x14ac:dyDescent="0.25">
      <c r="A200" s="10" t="s">
        <v>482</v>
      </c>
      <c r="B200" s="15">
        <v>1377.26</v>
      </c>
      <c r="C200" s="15">
        <v>1377.26</v>
      </c>
      <c r="D200" s="15">
        <v>2752.81</v>
      </c>
      <c r="E200" s="15">
        <v>1377.26</v>
      </c>
      <c r="F200" s="15">
        <v>1377.26</v>
      </c>
      <c r="G200" s="15">
        <v>1182.95</v>
      </c>
      <c r="H200" s="15">
        <v>1377.26</v>
      </c>
      <c r="I200" s="15">
        <v>1377.26</v>
      </c>
      <c r="J200" s="15">
        <v>1798.73</v>
      </c>
      <c r="K200" s="15">
        <v>1587.99</v>
      </c>
      <c r="L200" s="15">
        <v>66.81</v>
      </c>
      <c r="M200" s="15">
        <v>0</v>
      </c>
      <c r="N200" s="15">
        <v>1587.99</v>
      </c>
    </row>
    <row r="201" spans="1:14" x14ac:dyDescent="0.25">
      <c r="A201" s="10" t="s">
        <v>484</v>
      </c>
      <c r="B201" s="15">
        <v>2871.77</v>
      </c>
      <c r="C201" s="15">
        <v>2871.77</v>
      </c>
      <c r="D201" s="15">
        <v>6546.39</v>
      </c>
      <c r="E201" s="15">
        <v>3105.79</v>
      </c>
      <c r="F201" s="15">
        <v>3105.79</v>
      </c>
      <c r="G201" s="15">
        <v>3105.79</v>
      </c>
      <c r="H201" s="15">
        <v>3105.79</v>
      </c>
      <c r="I201" s="15">
        <v>3105.79</v>
      </c>
      <c r="J201" s="15">
        <v>3813.22</v>
      </c>
      <c r="K201" s="15">
        <v>3459.51</v>
      </c>
      <c r="L201" s="15">
        <v>3459.51</v>
      </c>
      <c r="M201" s="15">
        <v>3459.51</v>
      </c>
      <c r="N201" s="15">
        <v>3459.51</v>
      </c>
    </row>
    <row r="202" spans="1:14" x14ac:dyDescent="0.25">
      <c r="A202" s="10" t="s">
        <v>486</v>
      </c>
      <c r="B202" s="15">
        <v>536.35</v>
      </c>
      <c r="C202" s="15">
        <v>536.35</v>
      </c>
      <c r="D202" s="15">
        <v>536.35</v>
      </c>
      <c r="E202" s="15">
        <v>375.37</v>
      </c>
      <c r="F202" s="15">
        <v>536.35</v>
      </c>
      <c r="G202" s="15">
        <v>551.52</v>
      </c>
      <c r="H202" s="15">
        <v>551.52</v>
      </c>
      <c r="I202" s="15">
        <v>1170.46</v>
      </c>
      <c r="J202" s="15">
        <v>706.63</v>
      </c>
      <c r="K202" s="15">
        <v>706.63</v>
      </c>
      <c r="L202" s="15">
        <v>706.63</v>
      </c>
      <c r="M202" s="15">
        <v>706.63</v>
      </c>
      <c r="N202" s="15">
        <v>706.63</v>
      </c>
    </row>
    <row r="203" spans="1:14" x14ac:dyDescent="0.25">
      <c r="A203" s="10" t="s">
        <v>488</v>
      </c>
      <c r="B203" s="15">
        <v>1859.9</v>
      </c>
      <c r="C203" s="15">
        <v>1859.9</v>
      </c>
      <c r="D203" s="15">
        <v>3206.82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0</v>
      </c>
    </row>
    <row r="204" spans="1:14" x14ac:dyDescent="0.25">
      <c r="A204" s="10" t="s">
        <v>490</v>
      </c>
      <c r="B204" s="15">
        <v>157.27000000000001</v>
      </c>
      <c r="C204" s="15">
        <v>157.27000000000001</v>
      </c>
      <c r="D204" s="15">
        <v>157.27000000000001</v>
      </c>
      <c r="E204" s="15">
        <v>157.27000000000001</v>
      </c>
      <c r="F204" s="15">
        <v>162.24</v>
      </c>
      <c r="G204" s="15">
        <v>162.24</v>
      </c>
      <c r="H204" s="15">
        <v>162.24</v>
      </c>
      <c r="I204" s="15">
        <v>457.5</v>
      </c>
      <c r="J204" s="15">
        <v>215.67</v>
      </c>
      <c r="K204" s="15">
        <v>215.67</v>
      </c>
      <c r="L204" s="15">
        <v>215.67</v>
      </c>
      <c r="M204" s="15">
        <v>215.67</v>
      </c>
      <c r="N204" s="15">
        <v>215.67</v>
      </c>
    </row>
    <row r="205" spans="1:14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27.82</v>
      </c>
      <c r="I205" s="15">
        <v>27.82</v>
      </c>
      <c r="J205" s="15">
        <v>32.700000000000003</v>
      </c>
      <c r="K205" s="15">
        <v>30.26</v>
      </c>
      <c r="L205" s="15">
        <v>30.26</v>
      </c>
      <c r="M205" s="15">
        <v>30.26</v>
      </c>
      <c r="N205" s="15">
        <v>0</v>
      </c>
    </row>
    <row r="206" spans="1:14" x14ac:dyDescent="0.25">
      <c r="A206" s="10" t="s">
        <v>494</v>
      </c>
      <c r="B206" s="15">
        <v>84.21</v>
      </c>
      <c r="C206" s="15">
        <v>84.21</v>
      </c>
      <c r="D206" s="15">
        <v>84.21</v>
      </c>
      <c r="E206" s="15">
        <v>84.21</v>
      </c>
      <c r="F206" s="15">
        <v>84.21</v>
      </c>
      <c r="G206" s="15">
        <v>326.11</v>
      </c>
      <c r="H206" s="15">
        <v>0</v>
      </c>
      <c r="I206" s="15">
        <v>226.99</v>
      </c>
      <c r="J206" s="15">
        <v>132.05000000000001</v>
      </c>
      <c r="K206" s="15">
        <v>132.05000000000001</v>
      </c>
      <c r="L206" s="15">
        <v>132.05000000000001</v>
      </c>
      <c r="M206" s="15">
        <v>132.05000000000001</v>
      </c>
      <c r="N206" s="15">
        <v>132.05000000000001</v>
      </c>
    </row>
    <row r="207" spans="1:14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352.88</v>
      </c>
      <c r="H207" s="15">
        <v>394.35</v>
      </c>
      <c r="I207" s="15">
        <v>394.35</v>
      </c>
      <c r="J207" s="15">
        <v>433.61</v>
      </c>
      <c r="K207" s="15">
        <v>412.14</v>
      </c>
      <c r="L207" s="15">
        <v>412.14</v>
      </c>
      <c r="M207" s="15">
        <v>412.14</v>
      </c>
      <c r="N207" s="15">
        <v>47.16</v>
      </c>
    </row>
    <row r="208" spans="1:14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605.05999999999995</v>
      </c>
      <c r="H208" s="15">
        <v>661.32</v>
      </c>
      <c r="I208" s="15">
        <v>661.32</v>
      </c>
      <c r="J208" s="15">
        <v>337.1</v>
      </c>
      <c r="K208" s="15">
        <v>685.45</v>
      </c>
      <c r="L208" s="15">
        <v>685.45</v>
      </c>
      <c r="M208" s="15">
        <v>685.45</v>
      </c>
      <c r="N208" s="15">
        <v>129.94999999999999</v>
      </c>
    </row>
    <row r="209" spans="1:14" x14ac:dyDescent="0.25">
      <c r="A209" s="10" t="s">
        <v>500</v>
      </c>
      <c r="B209" s="15">
        <v>1160.82</v>
      </c>
      <c r="C209" s="15">
        <v>1182.06</v>
      </c>
      <c r="D209" s="15">
        <v>1182.06</v>
      </c>
      <c r="E209" s="15">
        <v>1182.06</v>
      </c>
      <c r="F209" s="15">
        <v>1182.06</v>
      </c>
      <c r="G209" s="15">
        <v>1182.06</v>
      </c>
      <c r="H209" s="15">
        <v>1182.06</v>
      </c>
      <c r="I209" s="15">
        <v>2050.41</v>
      </c>
      <c r="J209" s="15">
        <v>1399.15</v>
      </c>
      <c r="K209" s="15">
        <v>1399.15</v>
      </c>
      <c r="L209" s="15">
        <v>1399.15</v>
      </c>
      <c r="M209" s="15">
        <v>3606.8</v>
      </c>
      <c r="N209" s="15">
        <v>1399.15</v>
      </c>
    </row>
    <row r="210" spans="1:14" x14ac:dyDescent="0.25">
      <c r="A210" s="10" t="s">
        <v>502</v>
      </c>
      <c r="B210" s="15">
        <v>237.14</v>
      </c>
      <c r="C210" s="15">
        <v>237.14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</row>
    <row r="211" spans="1:14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238.33</v>
      </c>
      <c r="I211" s="15">
        <v>303.83</v>
      </c>
      <c r="J211" s="15">
        <v>317.79000000000002</v>
      </c>
      <c r="K211" s="15">
        <v>310.81</v>
      </c>
      <c r="L211" s="15">
        <v>310.81</v>
      </c>
      <c r="M211" s="15">
        <v>310.81</v>
      </c>
      <c r="N211" s="15">
        <v>11.62</v>
      </c>
    </row>
    <row r="212" spans="1:14" x14ac:dyDescent="0.25">
      <c r="A212" s="10" t="s">
        <v>506</v>
      </c>
      <c r="B212" s="15">
        <v>122.32</v>
      </c>
      <c r="C212" s="15">
        <v>122.32</v>
      </c>
      <c r="D212" s="15">
        <v>122.32</v>
      </c>
      <c r="E212" s="15">
        <v>122.32</v>
      </c>
      <c r="F212" s="15">
        <v>122.32</v>
      </c>
      <c r="G212" s="15">
        <v>122.32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</row>
    <row r="213" spans="1:14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410.1</v>
      </c>
      <c r="K213" s="15">
        <v>410.1</v>
      </c>
      <c r="L213" s="15">
        <v>410.1</v>
      </c>
      <c r="M213" s="15">
        <v>410.1</v>
      </c>
      <c r="N213" s="15">
        <v>0</v>
      </c>
    </row>
    <row r="214" spans="1:14" x14ac:dyDescent="0.25">
      <c r="A214" s="10" t="s">
        <v>510</v>
      </c>
      <c r="B214" s="15">
        <v>2010</v>
      </c>
      <c r="C214" s="15">
        <v>1605.16</v>
      </c>
      <c r="D214" s="15">
        <v>2617.39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41.45</v>
      </c>
    </row>
    <row r="215" spans="1:14" x14ac:dyDescent="0.25">
      <c r="A215" s="10" t="s">
        <v>512</v>
      </c>
      <c r="B215" s="15">
        <v>3461.64</v>
      </c>
      <c r="C215" s="15">
        <v>3461.64</v>
      </c>
      <c r="D215" s="15">
        <v>12261.64</v>
      </c>
      <c r="E215" s="15">
        <v>3461.64</v>
      </c>
      <c r="F215" s="15">
        <v>3461.64</v>
      </c>
      <c r="G215" s="15">
        <v>3461.64</v>
      </c>
      <c r="H215" s="15">
        <v>3461.64</v>
      </c>
      <c r="I215" s="15">
        <v>7170.56</v>
      </c>
      <c r="J215" s="15">
        <v>2291.9699999999998</v>
      </c>
      <c r="K215" s="15">
        <v>3951.14</v>
      </c>
      <c r="L215" s="15">
        <v>3951.14</v>
      </c>
      <c r="M215" s="15">
        <v>3951.14</v>
      </c>
      <c r="N215" s="15">
        <v>3951.14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9"/>
  <dimension ref="A1:N215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76,4</v>
      </c>
      <c r="C2" s="14" t="str">
        <f>CONCATENATE("FEVEREIRO",CHAR(10),"TOTAL: ",ROUND(SUM(C3:C1048576),2))</f>
        <v>FEVEREIRO
TOTAL: 1136,34</v>
      </c>
      <c r="D2" s="14" t="str">
        <f>CONCATENATE("MARÇO",CHAR(10),"TOTAL: ",ROUND(SUM(D3:D1048576),2))</f>
        <v>MARÇO
TOTAL: 1225,56</v>
      </c>
      <c r="E2" s="14" t="str">
        <f>CONCATENATE("ABRIL",CHAR(10),"TOTAL: ",ROUND(SUM(E3:E1048576),2))</f>
        <v>ABRIL
TOTAL: 1236,37</v>
      </c>
      <c r="F2" s="14" t="str">
        <f>CONCATENATE("MAIO",CHAR(10),"TOTAL: ",ROUND(SUM(F3:F1048576),2))</f>
        <v>MAIO
TOTAL: 1236,37</v>
      </c>
      <c r="G2" s="14" t="str">
        <f>CONCATENATE("JUNHO",CHAR(10),"TOTAL: ",ROUND(SUM(G3:G1048576),2))</f>
        <v>JUNHO
TOTAL: 1236,37</v>
      </c>
      <c r="H2" s="14" t="str">
        <f>CONCATENATE("JULHO",CHAR(10),"TOTAL: ",ROUND(SUM(H3:H1048576),2))</f>
        <v>JULHO
TOTAL: 1236,37</v>
      </c>
      <c r="I2" s="14" t="str">
        <f>CONCATENATE("AGOSTO",CHAR(10),"TOTAL: ",ROUND(SUM(I3:I1048576),2))</f>
        <v>AGOSTO
TOTAL: 2079,37</v>
      </c>
      <c r="J2" s="14" t="str">
        <f>CONCATENATE("SETEMBRO",CHAR(10),"TOTAL: ",ROUND(SUM(J3:J1048576),2))</f>
        <v>SETEMBRO
TOTAL: 2270,99</v>
      </c>
      <c r="K2" s="14" t="str">
        <f>CONCATENATE("OUTUBRO",CHAR(10),"TOTAL: ",ROUND(SUM(K3:K1048576),2))</f>
        <v>OUTUBRO
TOTAL: 2208,68</v>
      </c>
      <c r="L2" s="14" t="str">
        <f>CONCATENATE("NOVEMBRO",CHAR(10),"TOTAL: ",ROUND(SUM(L3:L1048576),2))</f>
        <v>NOVEMBRO
TOTAL: 2208,68</v>
      </c>
      <c r="M2" s="14" t="str">
        <f>CONCATENATE("DEZEMBRO",CHAR(10),"TOTAL: ",ROUND(SUM(M3:M1048576),2))</f>
        <v>DEZEMBRO
TOTAL: 1695,54</v>
      </c>
      <c r="N2" s="14" t="str">
        <f>CONCATENATE("DEC. TERCEIRO",CHAR(10),"TOTAL: ",ROUND(SUM(N3:N1048576),2))</f>
        <v>DEC. TERCEIRO
TOTAL: 2208,68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923.77</v>
      </c>
      <c r="K4" s="15">
        <v>861.46</v>
      </c>
      <c r="L4" s="15">
        <v>861.46</v>
      </c>
      <c r="M4" s="15">
        <v>348.32</v>
      </c>
      <c r="N4" s="15">
        <v>861.46</v>
      </c>
    </row>
    <row r="5" spans="1:14" x14ac:dyDescent="0.25">
      <c r="A5" s="10" t="s">
        <v>92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</row>
    <row r="6" spans="1:14" x14ac:dyDescent="0.25">
      <c r="A6" s="10" t="s">
        <v>94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</row>
    <row r="7" spans="1:14" x14ac:dyDescent="0.25">
      <c r="A7" s="10" t="s">
        <v>96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</row>
    <row r="8" spans="1:14" x14ac:dyDescent="0.25">
      <c r="A8" s="10" t="s">
        <v>98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</row>
    <row r="9" spans="1:14" x14ac:dyDescent="0.25">
      <c r="A9" s="10" t="s">
        <v>100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10" t="s">
        <v>110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10" t="s">
        <v>112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</row>
    <row r="16" spans="1:14" x14ac:dyDescent="0.25">
      <c r="A16" s="10" t="s">
        <v>114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</row>
    <row r="17" spans="1:14" x14ac:dyDescent="0.25">
      <c r="A17" s="10" t="s">
        <v>116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</row>
    <row r="18" spans="1:14" x14ac:dyDescent="0.25">
      <c r="A18" s="10" t="s">
        <v>118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</row>
    <row r="20" spans="1:14" x14ac:dyDescent="0.25">
      <c r="A20" s="10" t="s">
        <v>122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</row>
    <row r="21" spans="1:14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</row>
    <row r="22" spans="1:14" x14ac:dyDescent="0.25">
      <c r="A22" s="10" t="s">
        <v>126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</row>
    <row r="23" spans="1:14" x14ac:dyDescent="0.25">
      <c r="A23" s="10" t="s">
        <v>128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</row>
    <row r="24" spans="1:14" x14ac:dyDescent="0.25">
      <c r="A24" s="10" t="s">
        <v>130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</row>
    <row r="25" spans="1:14" x14ac:dyDescent="0.25">
      <c r="A25" s="10" t="s">
        <v>132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</row>
    <row r="26" spans="1:14" x14ac:dyDescent="0.25">
      <c r="A26" s="10" t="s">
        <v>134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</row>
    <row r="27" spans="1:14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</row>
    <row r="28" spans="1:14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</row>
    <row r="29" spans="1:14" x14ac:dyDescent="0.25">
      <c r="A29" s="10" t="s">
        <v>140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</row>
    <row r="30" spans="1:14" x14ac:dyDescent="0.25">
      <c r="A30" s="10" t="s">
        <v>142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</row>
    <row r="31" spans="1:14" x14ac:dyDescent="0.25">
      <c r="A31" s="10" t="s">
        <v>144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</row>
    <row r="32" spans="1:14" x14ac:dyDescent="0.25">
      <c r="A32" s="10" t="s">
        <v>146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</row>
    <row r="33" spans="1:14" x14ac:dyDescent="0.25">
      <c r="A33" s="10" t="s">
        <v>148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</row>
    <row r="34" spans="1:14" x14ac:dyDescent="0.25">
      <c r="A34" s="10" t="s">
        <v>150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</row>
    <row r="35" spans="1:14" x14ac:dyDescent="0.25">
      <c r="A35" s="10" t="s">
        <v>152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</row>
    <row r="36" spans="1:14" x14ac:dyDescent="0.25">
      <c r="A36" s="10" t="s">
        <v>154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</row>
    <row r="37" spans="1:14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</row>
    <row r="38" spans="1:14" x14ac:dyDescent="0.25">
      <c r="A38" s="10" t="s">
        <v>158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</row>
    <row r="39" spans="1:14" x14ac:dyDescent="0.25">
      <c r="A39" s="10" t="s">
        <v>160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</row>
    <row r="40" spans="1:14" x14ac:dyDescent="0.25">
      <c r="A40" s="10" t="s">
        <v>162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</row>
    <row r="41" spans="1:14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</row>
    <row r="42" spans="1:14" x14ac:dyDescent="0.25">
      <c r="A42" s="10" t="s">
        <v>166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</row>
    <row r="43" spans="1:14" x14ac:dyDescent="0.25">
      <c r="A43" s="10" t="s">
        <v>168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</row>
    <row r="44" spans="1:14" x14ac:dyDescent="0.25">
      <c r="A44" s="10" t="s">
        <v>170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</row>
    <row r="45" spans="1:14" x14ac:dyDescent="0.25">
      <c r="A45" s="10" t="s">
        <v>172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</row>
    <row r="46" spans="1:14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</row>
    <row r="47" spans="1:14" x14ac:dyDescent="0.25">
      <c r="A47" s="10" t="s">
        <v>176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</row>
    <row r="48" spans="1:14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</row>
    <row r="49" spans="1:14" x14ac:dyDescent="0.25">
      <c r="A49" s="10" t="s">
        <v>180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</row>
    <row r="50" spans="1:14" x14ac:dyDescent="0.25">
      <c r="A50" s="10" t="s">
        <v>182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</row>
    <row r="51" spans="1:14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</row>
    <row r="52" spans="1:14" x14ac:dyDescent="0.25">
      <c r="A52" s="10" t="s">
        <v>186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</row>
    <row r="53" spans="1:14" x14ac:dyDescent="0.25">
      <c r="A53" s="10" t="s">
        <v>188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</row>
    <row r="54" spans="1:14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</row>
    <row r="55" spans="1:14" x14ac:dyDescent="0.25">
      <c r="A55" s="10" t="s">
        <v>192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</row>
    <row r="56" spans="1:14" x14ac:dyDescent="0.25">
      <c r="A56" s="10" t="s">
        <v>194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</row>
    <row r="57" spans="1:14" x14ac:dyDescent="0.25">
      <c r="A57" s="10" t="s">
        <v>196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</row>
    <row r="58" spans="1:14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</row>
    <row r="59" spans="1:14" x14ac:dyDescent="0.25">
      <c r="A59" s="10" t="s">
        <v>200</v>
      </c>
      <c r="B59" s="15">
        <v>76.400000000000006</v>
      </c>
      <c r="C59" s="15">
        <v>1136.3399999999999</v>
      </c>
      <c r="D59" s="15">
        <v>1225.56</v>
      </c>
      <c r="E59" s="15">
        <v>1236.3699999999999</v>
      </c>
      <c r="F59" s="15">
        <v>1236.3699999999999</v>
      </c>
      <c r="G59" s="15">
        <v>1236.3699999999999</v>
      </c>
      <c r="H59" s="15">
        <v>1236.3699999999999</v>
      </c>
      <c r="I59" s="15">
        <v>2079.37</v>
      </c>
      <c r="J59" s="15">
        <v>1347.22</v>
      </c>
      <c r="K59" s="15">
        <v>1347.22</v>
      </c>
      <c r="L59" s="15">
        <v>1347.22</v>
      </c>
      <c r="M59" s="15">
        <v>1347.22</v>
      </c>
      <c r="N59" s="15">
        <v>1347.22</v>
      </c>
    </row>
    <row r="60" spans="1:14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</row>
    <row r="61" spans="1:14" x14ac:dyDescent="0.25">
      <c r="A61" s="10" t="s">
        <v>204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</row>
    <row r="62" spans="1:14" x14ac:dyDescent="0.25">
      <c r="A62" s="10" t="s">
        <v>206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</row>
    <row r="63" spans="1:14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5">
      <c r="A65" s="10" t="s">
        <v>212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5">
      <c r="A66" s="10" t="s">
        <v>214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5">
      <c r="A67" s="10" t="s">
        <v>216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5">
      <c r="A70" s="10" t="s">
        <v>222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5">
      <c r="A72" s="10" t="s">
        <v>226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</row>
    <row r="75" spans="1:14" x14ac:dyDescent="0.25">
      <c r="A75" s="10" t="s">
        <v>232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>
        <v>0</v>
      </c>
    </row>
    <row r="76" spans="1:14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5">
      <c r="A77" s="10" t="s">
        <v>236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</row>
    <row r="78" spans="1:14" x14ac:dyDescent="0.25">
      <c r="A78" s="10" t="s">
        <v>238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</row>
    <row r="79" spans="1:14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</row>
    <row r="80" spans="1:14" x14ac:dyDescent="0.25">
      <c r="A80" s="10" t="s">
        <v>242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</row>
    <row r="81" spans="1:14" x14ac:dyDescent="0.25">
      <c r="A81" s="10" t="s">
        <v>244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</row>
    <row r="82" spans="1:14" x14ac:dyDescent="0.25">
      <c r="A82" s="10" t="s">
        <v>246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</row>
    <row r="83" spans="1:14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>
        <v>0</v>
      </c>
    </row>
    <row r="84" spans="1:14" x14ac:dyDescent="0.25">
      <c r="A84" s="10" t="s">
        <v>250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</row>
    <row r="85" spans="1:14" x14ac:dyDescent="0.25">
      <c r="A85" s="10" t="s">
        <v>252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</row>
    <row r="86" spans="1:14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5">
      <c r="A87" s="10" t="s">
        <v>256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  <c r="N87" s="15">
        <v>0</v>
      </c>
    </row>
    <row r="88" spans="1:14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</row>
    <row r="89" spans="1:14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>
        <v>0</v>
      </c>
    </row>
    <row r="90" spans="1:14" x14ac:dyDescent="0.25">
      <c r="A90" s="10" t="s">
        <v>262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</row>
    <row r="91" spans="1:14" x14ac:dyDescent="0.25">
      <c r="A91" s="10" t="s">
        <v>264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  <c r="N91" s="15">
        <v>0</v>
      </c>
    </row>
    <row r="92" spans="1:14" x14ac:dyDescent="0.25">
      <c r="A92" s="10" t="s">
        <v>266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</row>
    <row r="93" spans="1:14" x14ac:dyDescent="0.25">
      <c r="A93" s="10" t="s">
        <v>268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</row>
    <row r="94" spans="1:14" x14ac:dyDescent="0.25">
      <c r="A94" s="10" t="s">
        <v>270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</row>
    <row r="95" spans="1:14" x14ac:dyDescent="0.25">
      <c r="A95" s="10" t="s">
        <v>272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0</v>
      </c>
    </row>
    <row r="96" spans="1:14" x14ac:dyDescent="0.25">
      <c r="A96" s="10" t="s">
        <v>274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</row>
    <row r="97" spans="1:14" x14ac:dyDescent="0.25">
      <c r="A97" s="10" t="s">
        <v>276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</row>
    <row r="98" spans="1:14" x14ac:dyDescent="0.25">
      <c r="A98" s="10" t="s">
        <v>278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</row>
    <row r="99" spans="1:14" x14ac:dyDescent="0.25">
      <c r="A99" s="10" t="s">
        <v>280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>
        <v>0</v>
      </c>
    </row>
    <row r="100" spans="1:14" x14ac:dyDescent="0.25">
      <c r="A100" s="10" t="s">
        <v>282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</row>
    <row r="101" spans="1:14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</row>
    <row r="102" spans="1:14" x14ac:dyDescent="0.25">
      <c r="A102" s="10" t="s">
        <v>286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</row>
    <row r="103" spans="1:14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</row>
    <row r="104" spans="1:14" x14ac:dyDescent="0.25">
      <c r="A104" s="10" t="s">
        <v>290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</row>
    <row r="105" spans="1:14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</row>
    <row r="106" spans="1:14" x14ac:dyDescent="0.25">
      <c r="A106" s="10" t="s">
        <v>294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</row>
    <row r="107" spans="1:14" x14ac:dyDescent="0.25">
      <c r="A107" s="10" t="s">
        <v>296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</row>
    <row r="108" spans="1:14" x14ac:dyDescent="0.25">
      <c r="A108" s="10" t="s">
        <v>298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</row>
    <row r="109" spans="1:14" x14ac:dyDescent="0.25">
      <c r="A109" s="10" t="s">
        <v>300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</row>
    <row r="110" spans="1:14" x14ac:dyDescent="0.25">
      <c r="A110" s="10" t="s">
        <v>302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</row>
    <row r="111" spans="1:14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</row>
    <row r="112" spans="1:14" x14ac:dyDescent="0.25">
      <c r="A112" s="10" t="s">
        <v>306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</row>
    <row r="113" spans="1:14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</row>
    <row r="114" spans="1:14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</row>
    <row r="115" spans="1:14" x14ac:dyDescent="0.25">
      <c r="A115" s="10" t="s">
        <v>312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</row>
    <row r="116" spans="1:14" x14ac:dyDescent="0.25">
      <c r="A116" s="10" t="s">
        <v>314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</row>
    <row r="117" spans="1:14" x14ac:dyDescent="0.25">
      <c r="A117" s="10" t="s">
        <v>316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</row>
    <row r="118" spans="1:14" x14ac:dyDescent="0.25">
      <c r="A118" s="10" t="s">
        <v>318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</row>
    <row r="119" spans="1:14" x14ac:dyDescent="0.25">
      <c r="A119" s="10" t="s">
        <v>320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</row>
    <row r="120" spans="1:14" x14ac:dyDescent="0.25">
      <c r="A120" s="10" t="s">
        <v>322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</row>
    <row r="121" spans="1:14" x14ac:dyDescent="0.25">
      <c r="A121" s="10" t="s">
        <v>324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>
        <v>0</v>
      </c>
    </row>
    <row r="122" spans="1:14" x14ac:dyDescent="0.25">
      <c r="A122" s="10" t="s">
        <v>326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</row>
    <row r="123" spans="1:14" x14ac:dyDescent="0.25">
      <c r="A123" s="10" t="s">
        <v>328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</row>
    <row r="124" spans="1:14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</row>
    <row r="125" spans="1:14" x14ac:dyDescent="0.25">
      <c r="A125" s="10" t="s">
        <v>332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5">
      <c r="A126" s="10" t="s">
        <v>334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</row>
    <row r="127" spans="1:14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</row>
    <row r="128" spans="1:14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</row>
    <row r="129" spans="1:14" x14ac:dyDescent="0.25">
      <c r="A129" s="10" t="s">
        <v>340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</row>
    <row r="130" spans="1:14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</row>
    <row r="131" spans="1:14" x14ac:dyDescent="0.25">
      <c r="A131" s="10" t="s">
        <v>344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</row>
    <row r="132" spans="1:14" x14ac:dyDescent="0.25">
      <c r="A132" s="10" t="s">
        <v>346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</row>
    <row r="133" spans="1:14" x14ac:dyDescent="0.25">
      <c r="A133" s="10" t="s">
        <v>348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  <c r="N133" s="15">
        <v>0</v>
      </c>
    </row>
    <row r="134" spans="1:14" x14ac:dyDescent="0.25">
      <c r="A134" s="10" t="s">
        <v>350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</row>
    <row r="135" spans="1:14" x14ac:dyDescent="0.25">
      <c r="A135" s="10" t="s">
        <v>352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5">
        <v>0</v>
      </c>
    </row>
    <row r="136" spans="1:14" x14ac:dyDescent="0.25">
      <c r="A136" s="10" t="s">
        <v>354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</row>
    <row r="137" spans="1:14" x14ac:dyDescent="0.25">
      <c r="A137" s="10" t="s">
        <v>356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  <c r="N137" s="15">
        <v>0</v>
      </c>
    </row>
    <row r="138" spans="1:14" x14ac:dyDescent="0.25">
      <c r="A138" s="10" t="s">
        <v>358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</row>
    <row r="139" spans="1:14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>
        <v>0</v>
      </c>
    </row>
    <row r="140" spans="1:14" x14ac:dyDescent="0.25">
      <c r="A140" s="10" t="s">
        <v>362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</row>
    <row r="141" spans="1:14" x14ac:dyDescent="0.25">
      <c r="A141" s="10" t="s">
        <v>364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>
        <v>0</v>
      </c>
    </row>
    <row r="142" spans="1:14" x14ac:dyDescent="0.25">
      <c r="A142" s="10" t="s">
        <v>366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</row>
    <row r="143" spans="1:14" x14ac:dyDescent="0.25">
      <c r="A143" s="10" t="s">
        <v>368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</row>
    <row r="144" spans="1:14" x14ac:dyDescent="0.25">
      <c r="A144" s="10" t="s">
        <v>370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</row>
    <row r="145" spans="1:14" x14ac:dyDescent="0.25">
      <c r="A145" s="10" t="s">
        <v>372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>
        <v>0</v>
      </c>
    </row>
    <row r="146" spans="1:14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</row>
    <row r="147" spans="1:14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  <c r="N147" s="15">
        <v>0</v>
      </c>
    </row>
    <row r="148" spans="1:14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</row>
    <row r="149" spans="1:14" x14ac:dyDescent="0.25">
      <c r="A149" s="10" t="s">
        <v>380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</row>
    <row r="150" spans="1:14" x14ac:dyDescent="0.25">
      <c r="A150" s="10" t="s">
        <v>382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</row>
    <row r="151" spans="1:14" x14ac:dyDescent="0.25">
      <c r="A151" s="10" t="s">
        <v>384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</row>
    <row r="152" spans="1:14" x14ac:dyDescent="0.25">
      <c r="A152" s="10" t="s">
        <v>386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</row>
    <row r="153" spans="1:14" x14ac:dyDescent="0.25">
      <c r="A153" s="10" t="s">
        <v>388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  <c r="N153" s="15">
        <v>0</v>
      </c>
    </row>
    <row r="154" spans="1:14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</row>
    <row r="155" spans="1:14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  <c r="N155" s="15">
        <v>0</v>
      </c>
    </row>
    <row r="156" spans="1:14" x14ac:dyDescent="0.25">
      <c r="A156" s="10" t="s">
        <v>394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</row>
    <row r="157" spans="1:14" x14ac:dyDescent="0.25">
      <c r="A157" s="10" t="s">
        <v>396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  <c r="N157" s="15">
        <v>0</v>
      </c>
    </row>
    <row r="158" spans="1:14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</row>
    <row r="159" spans="1:14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</row>
    <row r="160" spans="1:14" x14ac:dyDescent="0.25">
      <c r="A160" s="10" t="s">
        <v>402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</row>
    <row r="161" spans="1:14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</row>
    <row r="162" spans="1:14" x14ac:dyDescent="0.25">
      <c r="A162" s="10" t="s">
        <v>406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</row>
    <row r="163" spans="1:14" x14ac:dyDescent="0.25">
      <c r="A163" s="10" t="s">
        <v>408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</row>
    <row r="164" spans="1:14" x14ac:dyDescent="0.25">
      <c r="A164" s="10" t="s">
        <v>410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</row>
    <row r="165" spans="1:14" x14ac:dyDescent="0.25">
      <c r="A165" s="10" t="s">
        <v>412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  <c r="N165" s="15">
        <v>0</v>
      </c>
    </row>
    <row r="166" spans="1:14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</row>
    <row r="167" spans="1:14" x14ac:dyDescent="0.25">
      <c r="A167" s="10" t="s">
        <v>416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>
        <v>0</v>
      </c>
    </row>
    <row r="168" spans="1:14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</row>
    <row r="169" spans="1:14" x14ac:dyDescent="0.25">
      <c r="A169" s="10" t="s">
        <v>420</v>
      </c>
      <c r="B169" s="15">
        <v>0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  <c r="N169" s="15">
        <v>0</v>
      </c>
    </row>
    <row r="170" spans="1:14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</row>
    <row r="171" spans="1:14" x14ac:dyDescent="0.25">
      <c r="A171" s="10" t="s">
        <v>424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>
        <v>0</v>
      </c>
    </row>
    <row r="172" spans="1:14" x14ac:dyDescent="0.25">
      <c r="A172" s="10" t="s">
        <v>426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</row>
    <row r="173" spans="1:14" x14ac:dyDescent="0.25">
      <c r="A173" s="10" t="s">
        <v>428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  <c r="N173" s="15">
        <v>0</v>
      </c>
    </row>
    <row r="174" spans="1:14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</row>
    <row r="175" spans="1:14" x14ac:dyDescent="0.25">
      <c r="A175" s="10" t="s">
        <v>432</v>
      </c>
      <c r="B175" s="15">
        <v>0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</row>
    <row r="176" spans="1:14" x14ac:dyDescent="0.25">
      <c r="A176" s="10" t="s">
        <v>434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</row>
    <row r="177" spans="1:14" x14ac:dyDescent="0.25">
      <c r="A177" s="10" t="s">
        <v>436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  <c r="N177" s="15">
        <v>0</v>
      </c>
    </row>
    <row r="178" spans="1:14" x14ac:dyDescent="0.25">
      <c r="A178" s="10" t="s">
        <v>438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</row>
    <row r="179" spans="1:14" x14ac:dyDescent="0.25">
      <c r="A179" s="10" t="s">
        <v>440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  <c r="N179" s="15">
        <v>0</v>
      </c>
    </row>
    <row r="180" spans="1:14" x14ac:dyDescent="0.25">
      <c r="A180" s="10" t="s">
        <v>442</v>
      </c>
      <c r="B180" s="15">
        <v>0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</row>
    <row r="181" spans="1:14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  <c r="N181" s="15">
        <v>0</v>
      </c>
    </row>
    <row r="182" spans="1:14" x14ac:dyDescent="0.25">
      <c r="A182" s="10" t="s">
        <v>446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</row>
    <row r="183" spans="1:14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  <c r="N183" s="15">
        <v>0</v>
      </c>
    </row>
    <row r="184" spans="1:14" x14ac:dyDescent="0.25">
      <c r="A184" s="10" t="s">
        <v>450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</row>
    <row r="185" spans="1:14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</row>
    <row r="186" spans="1:14" x14ac:dyDescent="0.25">
      <c r="A186" s="10" t="s">
        <v>454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</row>
    <row r="187" spans="1:14" x14ac:dyDescent="0.25">
      <c r="A187" s="10" t="s">
        <v>456</v>
      </c>
      <c r="B187" s="15">
        <v>0</v>
      </c>
      <c r="C187" s="15">
        <v>0</v>
      </c>
      <c r="D187" s="15">
        <v>0</v>
      </c>
      <c r="E187" s="15">
        <v>0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  <c r="N187" s="15">
        <v>0</v>
      </c>
    </row>
    <row r="188" spans="1:14" x14ac:dyDescent="0.25">
      <c r="A188" s="10" t="s">
        <v>458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</row>
    <row r="189" spans="1:14" x14ac:dyDescent="0.25">
      <c r="A189" s="10" t="s">
        <v>460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  <c r="N189" s="15">
        <v>0</v>
      </c>
    </row>
    <row r="190" spans="1:14" x14ac:dyDescent="0.25">
      <c r="A190" s="10" t="s">
        <v>462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</row>
    <row r="191" spans="1:14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  <c r="N191" s="15">
        <v>0</v>
      </c>
    </row>
    <row r="192" spans="1:14" x14ac:dyDescent="0.25">
      <c r="A192" s="10" t="s">
        <v>466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</row>
    <row r="193" spans="1:14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>
        <v>0</v>
      </c>
    </row>
    <row r="194" spans="1:14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</row>
    <row r="195" spans="1:14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  <c r="N195" s="15">
        <v>0</v>
      </c>
    </row>
    <row r="196" spans="1:14" x14ac:dyDescent="0.25">
      <c r="A196" s="10" t="s">
        <v>474</v>
      </c>
      <c r="B196" s="15">
        <v>0</v>
      </c>
      <c r="C196" s="15">
        <v>0</v>
      </c>
      <c r="D196" s="15">
        <v>0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</row>
    <row r="197" spans="1:14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0</v>
      </c>
      <c r="N197" s="15">
        <v>0</v>
      </c>
    </row>
    <row r="198" spans="1:14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</row>
    <row r="199" spans="1:14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  <c r="N199" s="15">
        <v>0</v>
      </c>
    </row>
    <row r="200" spans="1:14" x14ac:dyDescent="0.25">
      <c r="A200" s="10" t="s">
        <v>482</v>
      </c>
      <c r="B200" s="15">
        <v>0</v>
      </c>
      <c r="C200" s="15">
        <v>0</v>
      </c>
      <c r="D200" s="15">
        <v>0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</row>
    <row r="201" spans="1:14" x14ac:dyDescent="0.25">
      <c r="A201" s="10" t="s">
        <v>484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  <c r="N201" s="15">
        <v>0</v>
      </c>
    </row>
    <row r="202" spans="1:14" x14ac:dyDescent="0.25">
      <c r="A202" s="10" t="s">
        <v>486</v>
      </c>
      <c r="B202" s="15">
        <v>0</v>
      </c>
      <c r="C202" s="15">
        <v>0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</row>
    <row r="203" spans="1:14" x14ac:dyDescent="0.25">
      <c r="A203" s="10" t="s">
        <v>488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0</v>
      </c>
    </row>
    <row r="204" spans="1:14" x14ac:dyDescent="0.25">
      <c r="A204" s="10" t="s">
        <v>490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</row>
    <row r="205" spans="1:14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  <c r="N205" s="15">
        <v>0</v>
      </c>
    </row>
    <row r="206" spans="1:14" x14ac:dyDescent="0.25">
      <c r="A206" s="10" t="s">
        <v>494</v>
      </c>
      <c r="B206" s="15">
        <v>0</v>
      </c>
      <c r="C206" s="15">
        <v>0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</row>
    <row r="207" spans="1:14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  <c r="N207" s="15">
        <v>0</v>
      </c>
    </row>
    <row r="208" spans="1:14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</row>
    <row r="209" spans="1:14" x14ac:dyDescent="0.25">
      <c r="A209" s="10" t="s">
        <v>500</v>
      </c>
      <c r="B209" s="15">
        <v>0</v>
      </c>
      <c r="C209" s="15">
        <v>0</v>
      </c>
      <c r="D209" s="15">
        <v>0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  <c r="N209" s="15">
        <v>0</v>
      </c>
    </row>
    <row r="210" spans="1:14" x14ac:dyDescent="0.25">
      <c r="A210" s="10" t="s">
        <v>502</v>
      </c>
      <c r="B210" s="15">
        <v>0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</row>
    <row r="211" spans="1:14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0</v>
      </c>
      <c r="J211" s="15">
        <v>0</v>
      </c>
      <c r="K211" s="15">
        <v>0</v>
      </c>
      <c r="L211" s="15">
        <v>0</v>
      </c>
      <c r="M211" s="15">
        <v>0</v>
      </c>
      <c r="N211" s="15">
        <v>0</v>
      </c>
    </row>
    <row r="212" spans="1:14" x14ac:dyDescent="0.25">
      <c r="A212" s="10" t="s">
        <v>506</v>
      </c>
      <c r="B212" s="15">
        <v>0</v>
      </c>
      <c r="C212" s="15">
        <v>0</v>
      </c>
      <c r="D212" s="15">
        <v>0</v>
      </c>
      <c r="E212" s="15">
        <v>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</row>
    <row r="213" spans="1:14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  <c r="N213" s="15">
        <v>0</v>
      </c>
    </row>
    <row r="214" spans="1:14" x14ac:dyDescent="0.25">
      <c r="A214" s="10" t="s">
        <v>510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</row>
    <row r="215" spans="1:14" x14ac:dyDescent="0.25">
      <c r="A215" s="10" t="s">
        <v>512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8"/>
  <dimension ref="A1:N215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14029,66</v>
      </c>
      <c r="C2" s="14" t="str">
        <f>CONCATENATE("FEVEREIRO",CHAR(10),"TOTAL: ",ROUND(SUM(C3:C1048576),2))</f>
        <v>FEVEREIRO
TOTAL: 14788,02</v>
      </c>
      <c r="D2" s="14" t="str">
        <f>CONCATENATE("MARÇO",CHAR(10),"TOTAL: ",ROUND(SUM(D3:D1048576),2))</f>
        <v>MARÇO
TOTAL: 14598,43</v>
      </c>
      <c r="E2" s="14" t="str">
        <f>CONCATENATE("ABRIL",CHAR(10),"TOTAL: ",ROUND(SUM(E3:E1048576),2))</f>
        <v>ABRIL
TOTAL: 14408,84</v>
      </c>
      <c r="F2" s="14" t="str">
        <f>CONCATENATE("MAIO",CHAR(10),"TOTAL: ",ROUND(SUM(F3:F1048576),2))</f>
        <v>MAIO
TOTAL: 15356,79</v>
      </c>
      <c r="G2" s="14" t="str">
        <f>CONCATENATE("JUNHO",CHAR(10),"TOTAL: ",ROUND(SUM(G3:G1048576),2))</f>
        <v>JUNHO
TOTAL: 18769,41</v>
      </c>
      <c r="H2" s="14" t="str">
        <f>CONCATENATE("JULHO",CHAR(10),"TOTAL: ",ROUND(SUM(H3:H1048576),2))</f>
        <v>JULHO
TOTAL: 18959</v>
      </c>
      <c r="I2" s="14" t="str">
        <f>CONCATENATE("AGOSTO",CHAR(10),"TOTAL: ",ROUND(SUM(I3:I1048576),2))</f>
        <v>AGOSTO
TOTAL: 19527,77</v>
      </c>
      <c r="J2" s="14" t="str">
        <f>CONCATENATE("SETEMBRO",CHAR(10),"TOTAL: ",ROUND(SUM(J3:J1048576),2))</f>
        <v>SETEMBRO
TOTAL: 20096,54</v>
      </c>
      <c r="K2" s="14" t="str">
        <f>CONCATENATE("OUTUBRO",CHAR(10),"TOTAL: ",ROUND(SUM(K3:K1048576),2))</f>
        <v>OUTUBRO
TOTAL: 19148,59</v>
      </c>
      <c r="L2" s="14" t="str">
        <f>CONCATENATE("NOVEMBRO",CHAR(10),"TOTAL: ",ROUND(SUM(L3:L1048576),2))</f>
        <v>NOVEMBRO
TOTAL: 18959</v>
      </c>
      <c r="M2" s="14" t="str">
        <f>CONCATENATE("DEZEMBRO",CHAR(10),"TOTAL: ",ROUND(SUM(M3:M1048576),2))</f>
        <v>DEZEMBRO
TOTAL: 23319,57</v>
      </c>
      <c r="N2" s="14" t="str">
        <f>CONCATENATE("DEC. TERCEIRO",CHAR(10),"TOTAL: ",ROUND(SUM(N3:N1048576),2))</f>
        <v>DEC. TERCEIRO
TOTAL: 22182,03</v>
      </c>
    </row>
    <row r="3" spans="1:14" x14ac:dyDescent="0.25">
      <c r="A3" s="10" t="s">
        <v>88</v>
      </c>
      <c r="B3" s="15">
        <v>568.77</v>
      </c>
      <c r="C3" s="15">
        <v>568.77</v>
      </c>
      <c r="D3" s="15">
        <v>568.77</v>
      </c>
      <c r="E3" s="15">
        <v>568.77</v>
      </c>
      <c r="F3" s="15">
        <v>568.77</v>
      </c>
      <c r="G3" s="15">
        <v>568.77</v>
      </c>
      <c r="H3" s="15">
        <v>568.77</v>
      </c>
      <c r="I3" s="15">
        <v>568.77</v>
      </c>
      <c r="J3" s="15">
        <v>568.77</v>
      </c>
      <c r="K3" s="15">
        <v>568.77</v>
      </c>
      <c r="L3" s="15">
        <v>568.77</v>
      </c>
      <c r="M3" s="15">
        <v>1137.54</v>
      </c>
      <c r="N3" s="15">
        <v>568.77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</row>
    <row r="5" spans="1:14" x14ac:dyDescent="0.25">
      <c r="A5" s="10" t="s">
        <v>92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</row>
    <row r="6" spans="1:14" x14ac:dyDescent="0.25">
      <c r="A6" s="10" t="s">
        <v>94</v>
      </c>
      <c r="B6" s="15">
        <v>189.59</v>
      </c>
      <c r="C6" s="15">
        <v>189.59</v>
      </c>
      <c r="D6" s="15">
        <v>189.59</v>
      </c>
      <c r="E6" s="15">
        <v>189.59</v>
      </c>
      <c r="F6" s="15">
        <v>189.59</v>
      </c>
      <c r="G6" s="15">
        <v>189.59</v>
      </c>
      <c r="H6" s="15">
        <v>189.59</v>
      </c>
      <c r="I6" s="15">
        <v>189.59</v>
      </c>
      <c r="J6" s="15">
        <v>189.59</v>
      </c>
      <c r="K6" s="15">
        <v>189.59</v>
      </c>
      <c r="L6" s="15">
        <v>189.59</v>
      </c>
      <c r="M6" s="15">
        <v>189.59</v>
      </c>
      <c r="N6" s="15">
        <v>189.59</v>
      </c>
    </row>
    <row r="7" spans="1:14" x14ac:dyDescent="0.25">
      <c r="A7" s="10" t="s">
        <v>96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</row>
    <row r="8" spans="1:14" x14ac:dyDescent="0.25">
      <c r="A8" s="10" t="s">
        <v>98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</row>
    <row r="9" spans="1:14" x14ac:dyDescent="0.25">
      <c r="A9" s="10" t="s">
        <v>100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568.77</v>
      </c>
      <c r="F10" s="15">
        <v>568.77</v>
      </c>
      <c r="G10" s="15">
        <v>568.77</v>
      </c>
      <c r="H10" s="15">
        <v>568.77</v>
      </c>
      <c r="I10" s="15">
        <v>568.77</v>
      </c>
      <c r="J10" s="15">
        <v>568.77</v>
      </c>
      <c r="K10" s="15">
        <v>568.77</v>
      </c>
      <c r="L10" s="15">
        <v>568.77</v>
      </c>
      <c r="M10" s="15">
        <v>568.77</v>
      </c>
      <c r="N10" s="15">
        <v>568.77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10" t="s">
        <v>110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10" t="s">
        <v>112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</row>
    <row r="16" spans="1:14" x14ac:dyDescent="0.25">
      <c r="A16" s="10" t="s">
        <v>114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</row>
    <row r="17" spans="1:14" x14ac:dyDescent="0.25">
      <c r="A17" s="10" t="s">
        <v>116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</row>
    <row r="18" spans="1:14" x14ac:dyDescent="0.25">
      <c r="A18" s="10" t="s">
        <v>118</v>
      </c>
      <c r="B18" s="15">
        <v>379.18</v>
      </c>
      <c r="C18" s="15">
        <v>758.36</v>
      </c>
      <c r="D18" s="15">
        <v>379.18</v>
      </c>
      <c r="E18" s="15">
        <v>379.18</v>
      </c>
      <c r="F18" s="15">
        <v>379.18</v>
      </c>
      <c r="G18" s="15">
        <v>379.18</v>
      </c>
      <c r="H18" s="15">
        <v>379.18</v>
      </c>
      <c r="I18" s="15">
        <v>379.18</v>
      </c>
      <c r="J18" s="15">
        <v>379.18</v>
      </c>
      <c r="K18" s="15">
        <v>379.18</v>
      </c>
      <c r="L18" s="15">
        <v>379.18</v>
      </c>
      <c r="M18" s="15">
        <v>379.18</v>
      </c>
      <c r="N18" s="15">
        <v>379.18</v>
      </c>
    </row>
    <row r="19" spans="1:14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</row>
    <row r="20" spans="1:14" x14ac:dyDescent="0.25">
      <c r="A20" s="10" t="s">
        <v>122</v>
      </c>
      <c r="B20" s="15">
        <v>189.59</v>
      </c>
      <c r="C20" s="15">
        <v>379.18</v>
      </c>
      <c r="D20" s="15">
        <v>189.59</v>
      </c>
      <c r="E20" s="15">
        <v>189.59</v>
      </c>
      <c r="F20" s="15">
        <v>189.59</v>
      </c>
      <c r="G20" s="15">
        <v>189.59</v>
      </c>
      <c r="H20" s="15">
        <v>189.59</v>
      </c>
      <c r="I20" s="15">
        <v>189.59</v>
      </c>
      <c r="J20" s="15">
        <v>189.59</v>
      </c>
      <c r="K20" s="15">
        <v>189.59</v>
      </c>
      <c r="L20" s="15">
        <v>379.18</v>
      </c>
      <c r="M20" s="15">
        <v>189.59</v>
      </c>
      <c r="N20" s="15">
        <v>189.59</v>
      </c>
    </row>
    <row r="21" spans="1:14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</row>
    <row r="22" spans="1:14" x14ac:dyDescent="0.25">
      <c r="A22" s="10" t="s">
        <v>126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</row>
    <row r="23" spans="1:14" x14ac:dyDescent="0.25">
      <c r="A23" s="10" t="s">
        <v>128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</row>
    <row r="24" spans="1:14" x14ac:dyDescent="0.25">
      <c r="A24" s="10" t="s">
        <v>130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</row>
    <row r="25" spans="1:14" x14ac:dyDescent="0.25">
      <c r="A25" s="10" t="s">
        <v>132</v>
      </c>
      <c r="B25" s="15">
        <v>379.18</v>
      </c>
      <c r="C25" s="15">
        <v>379.18</v>
      </c>
      <c r="D25" s="15">
        <v>379.18</v>
      </c>
      <c r="E25" s="15">
        <v>379.18</v>
      </c>
      <c r="F25" s="15">
        <v>379.18</v>
      </c>
      <c r="G25" s="15">
        <v>379.18</v>
      </c>
      <c r="H25" s="15">
        <v>379.18</v>
      </c>
      <c r="I25" s="15">
        <v>379.18</v>
      </c>
      <c r="J25" s="15">
        <v>379.18</v>
      </c>
      <c r="K25" s="15">
        <v>379.18</v>
      </c>
      <c r="L25" s="15">
        <v>379.18</v>
      </c>
      <c r="M25" s="15">
        <v>758.36</v>
      </c>
      <c r="N25" s="15">
        <v>379.18</v>
      </c>
    </row>
    <row r="26" spans="1:14" x14ac:dyDescent="0.25">
      <c r="A26" s="10" t="s">
        <v>134</v>
      </c>
      <c r="B26" s="15">
        <v>568.77</v>
      </c>
      <c r="C26" s="15">
        <v>568.77</v>
      </c>
      <c r="D26" s="15">
        <v>568.77</v>
      </c>
      <c r="E26" s="15">
        <v>568.77</v>
      </c>
      <c r="F26" s="15">
        <v>568.77</v>
      </c>
      <c r="G26" s="15">
        <v>568.77</v>
      </c>
      <c r="H26" s="15">
        <v>568.77</v>
      </c>
      <c r="I26" s="15">
        <v>568.77</v>
      </c>
      <c r="J26" s="15">
        <v>568.77</v>
      </c>
      <c r="K26" s="15">
        <v>568.77</v>
      </c>
      <c r="L26" s="15">
        <v>568.77</v>
      </c>
      <c r="M26" s="15">
        <v>1137.54</v>
      </c>
      <c r="N26" s="15">
        <v>568.77</v>
      </c>
    </row>
    <row r="27" spans="1:14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379.18</v>
      </c>
      <c r="M27" s="15">
        <v>379.18</v>
      </c>
      <c r="N27" s="15">
        <v>379.18</v>
      </c>
    </row>
    <row r="28" spans="1:14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568.77</v>
      </c>
      <c r="H28" s="15">
        <v>568.77</v>
      </c>
      <c r="I28" s="15">
        <v>568.77</v>
      </c>
      <c r="J28" s="15">
        <v>568.77</v>
      </c>
      <c r="K28" s="15">
        <v>568.77</v>
      </c>
      <c r="L28" s="15">
        <v>568.77</v>
      </c>
      <c r="M28" s="15">
        <v>568.77</v>
      </c>
      <c r="N28" s="15">
        <v>568.77</v>
      </c>
    </row>
    <row r="29" spans="1:14" x14ac:dyDescent="0.25">
      <c r="A29" s="10" t="s">
        <v>140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</row>
    <row r="30" spans="1:14" x14ac:dyDescent="0.25">
      <c r="A30" s="10" t="s">
        <v>142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</row>
    <row r="31" spans="1:14" x14ac:dyDescent="0.25">
      <c r="A31" s="10" t="s">
        <v>144</v>
      </c>
      <c r="B31" s="15">
        <v>758.36</v>
      </c>
      <c r="C31" s="15">
        <v>379.18</v>
      </c>
      <c r="D31" s="15">
        <v>379.18</v>
      </c>
      <c r="E31" s="15">
        <v>379.18</v>
      </c>
      <c r="F31" s="15">
        <v>189.59</v>
      </c>
      <c r="G31" s="15">
        <v>189.59</v>
      </c>
      <c r="H31" s="15">
        <v>189.59</v>
      </c>
      <c r="I31" s="15">
        <v>189.59</v>
      </c>
      <c r="J31" s="15">
        <v>189.59</v>
      </c>
      <c r="K31" s="15">
        <v>189.59</v>
      </c>
      <c r="L31" s="15">
        <v>189.59</v>
      </c>
      <c r="M31" s="15">
        <v>189.59</v>
      </c>
      <c r="N31" s="15">
        <v>189.59</v>
      </c>
    </row>
    <row r="32" spans="1:14" x14ac:dyDescent="0.25">
      <c r="A32" s="10" t="s">
        <v>146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</row>
    <row r="33" spans="1:14" x14ac:dyDescent="0.25">
      <c r="A33" s="10" t="s">
        <v>148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</row>
    <row r="34" spans="1:14" x14ac:dyDescent="0.25">
      <c r="A34" s="10" t="s">
        <v>150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</row>
    <row r="35" spans="1:14" x14ac:dyDescent="0.25">
      <c r="A35" s="10" t="s">
        <v>152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</row>
    <row r="36" spans="1:14" x14ac:dyDescent="0.25">
      <c r="A36" s="10" t="s">
        <v>154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</row>
    <row r="37" spans="1:14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</row>
    <row r="38" spans="1:14" x14ac:dyDescent="0.25">
      <c r="A38" s="10" t="s">
        <v>158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</row>
    <row r="39" spans="1:14" x14ac:dyDescent="0.25">
      <c r="A39" s="10" t="s">
        <v>160</v>
      </c>
      <c r="B39" s="15">
        <v>189.59</v>
      </c>
      <c r="C39" s="15">
        <v>189.59</v>
      </c>
      <c r="D39" s="15">
        <v>379.18</v>
      </c>
      <c r="E39" s="15">
        <v>189.59</v>
      </c>
      <c r="F39" s="15">
        <v>189.59</v>
      </c>
      <c r="G39" s="15">
        <v>189.59</v>
      </c>
      <c r="H39" s="15">
        <v>189.59</v>
      </c>
      <c r="I39" s="15">
        <v>189.59</v>
      </c>
      <c r="J39" s="15">
        <v>189.59</v>
      </c>
      <c r="K39" s="15">
        <v>189.59</v>
      </c>
      <c r="L39" s="15">
        <v>189.59</v>
      </c>
      <c r="M39" s="15">
        <v>189.59</v>
      </c>
      <c r="N39" s="15">
        <v>189.59</v>
      </c>
    </row>
    <row r="40" spans="1:14" x14ac:dyDescent="0.25">
      <c r="A40" s="10" t="s">
        <v>162</v>
      </c>
      <c r="B40" s="15">
        <v>189.59</v>
      </c>
      <c r="C40" s="15">
        <v>189.59</v>
      </c>
      <c r="D40" s="15">
        <v>189.59</v>
      </c>
      <c r="E40" s="15">
        <v>189.59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189.59</v>
      </c>
    </row>
    <row r="41" spans="1:14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189.59</v>
      </c>
      <c r="L41" s="15">
        <v>379.18</v>
      </c>
      <c r="M41" s="15">
        <v>379.18</v>
      </c>
      <c r="N41" s="15">
        <v>379.18</v>
      </c>
    </row>
    <row r="42" spans="1:14" x14ac:dyDescent="0.25">
      <c r="A42" s="10" t="s">
        <v>166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</row>
    <row r="43" spans="1:14" x14ac:dyDescent="0.25">
      <c r="A43" s="10" t="s">
        <v>168</v>
      </c>
      <c r="B43" s="15">
        <v>758.36</v>
      </c>
      <c r="C43" s="15">
        <v>758.36</v>
      </c>
      <c r="D43" s="15">
        <v>758.36</v>
      </c>
      <c r="E43" s="15">
        <v>758.36</v>
      </c>
      <c r="F43" s="15">
        <v>758.36</v>
      </c>
      <c r="G43" s="15">
        <v>1516.72</v>
      </c>
      <c r="H43" s="15">
        <v>758.36</v>
      </c>
      <c r="I43" s="15">
        <v>1516.72</v>
      </c>
      <c r="J43" s="15">
        <v>758.36</v>
      </c>
      <c r="K43" s="15">
        <v>758.36</v>
      </c>
      <c r="L43" s="15">
        <v>758.36</v>
      </c>
      <c r="M43" s="15">
        <v>758.36</v>
      </c>
      <c r="N43" s="15">
        <v>758.36</v>
      </c>
    </row>
    <row r="44" spans="1:14" x14ac:dyDescent="0.25">
      <c r="A44" s="10" t="s">
        <v>170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</row>
    <row r="45" spans="1:14" x14ac:dyDescent="0.25">
      <c r="A45" s="10" t="s">
        <v>172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</row>
    <row r="46" spans="1:14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379.18</v>
      </c>
      <c r="K46" s="15">
        <v>379.18</v>
      </c>
      <c r="L46" s="15">
        <v>379.18</v>
      </c>
      <c r="M46" s="15">
        <v>379.18</v>
      </c>
      <c r="N46" s="15">
        <v>379.18</v>
      </c>
    </row>
    <row r="47" spans="1:14" x14ac:dyDescent="0.25">
      <c r="A47" s="10" t="s">
        <v>176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</row>
    <row r="48" spans="1:14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</row>
    <row r="49" spans="1:14" x14ac:dyDescent="0.25">
      <c r="A49" s="10" t="s">
        <v>180</v>
      </c>
      <c r="B49" s="15">
        <v>379.18</v>
      </c>
      <c r="C49" s="15">
        <v>379.18</v>
      </c>
      <c r="D49" s="15">
        <v>379.18</v>
      </c>
      <c r="E49" s="15">
        <v>379.18</v>
      </c>
      <c r="F49" s="15">
        <v>379.18</v>
      </c>
      <c r="G49" s="15">
        <v>379.18</v>
      </c>
      <c r="H49" s="15">
        <v>379.18</v>
      </c>
      <c r="I49" s="15">
        <v>379.18</v>
      </c>
      <c r="J49" s="15">
        <v>379.18</v>
      </c>
      <c r="K49" s="15">
        <v>379.18</v>
      </c>
      <c r="L49" s="15">
        <v>379.18</v>
      </c>
      <c r="M49" s="15">
        <v>379.18</v>
      </c>
      <c r="N49" s="15">
        <v>379.18</v>
      </c>
    </row>
    <row r="50" spans="1:14" x14ac:dyDescent="0.25">
      <c r="A50" s="10" t="s">
        <v>182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</row>
    <row r="51" spans="1:14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</row>
    <row r="52" spans="1:14" x14ac:dyDescent="0.25">
      <c r="A52" s="10" t="s">
        <v>186</v>
      </c>
      <c r="B52" s="15">
        <v>379.18</v>
      </c>
      <c r="C52" s="15">
        <v>379.18</v>
      </c>
      <c r="D52" s="15">
        <v>379.18</v>
      </c>
      <c r="E52" s="15">
        <v>379.18</v>
      </c>
      <c r="F52" s="15">
        <v>379.18</v>
      </c>
      <c r="G52" s="15">
        <v>379.18</v>
      </c>
      <c r="H52" s="15">
        <v>379.18</v>
      </c>
      <c r="I52" s="15">
        <v>379.18</v>
      </c>
      <c r="J52" s="15">
        <v>189.59</v>
      </c>
      <c r="K52" s="15">
        <v>379.18</v>
      </c>
      <c r="L52" s="15">
        <v>189.59</v>
      </c>
      <c r="M52" s="15">
        <v>189.59</v>
      </c>
      <c r="N52" s="15">
        <v>189.59</v>
      </c>
    </row>
    <row r="53" spans="1:14" x14ac:dyDescent="0.25">
      <c r="A53" s="10" t="s">
        <v>188</v>
      </c>
      <c r="B53" s="15">
        <v>379.18</v>
      </c>
      <c r="C53" s="15">
        <v>379.18</v>
      </c>
      <c r="D53" s="15">
        <v>379.18</v>
      </c>
      <c r="E53" s="15">
        <v>379.18</v>
      </c>
      <c r="F53" s="15">
        <v>379.18</v>
      </c>
      <c r="G53" s="15">
        <v>379.18</v>
      </c>
      <c r="H53" s="15">
        <v>379.18</v>
      </c>
      <c r="I53" s="15">
        <v>379.18</v>
      </c>
      <c r="J53" s="15">
        <v>379.18</v>
      </c>
      <c r="K53" s="15">
        <v>379.18</v>
      </c>
      <c r="L53" s="15">
        <v>379.18</v>
      </c>
      <c r="M53" s="15">
        <v>379.18</v>
      </c>
      <c r="N53" s="15">
        <v>379.18</v>
      </c>
    </row>
    <row r="54" spans="1:14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189.59</v>
      </c>
      <c r="K54" s="15">
        <v>189.59</v>
      </c>
      <c r="L54" s="15">
        <v>189.59</v>
      </c>
      <c r="M54" s="15">
        <v>189.59</v>
      </c>
      <c r="N54" s="15">
        <v>189.59</v>
      </c>
    </row>
    <row r="55" spans="1:14" x14ac:dyDescent="0.25">
      <c r="A55" s="10" t="s">
        <v>192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</row>
    <row r="56" spans="1:14" x14ac:dyDescent="0.25">
      <c r="A56" s="10" t="s">
        <v>194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</row>
    <row r="57" spans="1:14" x14ac:dyDescent="0.25">
      <c r="A57" s="10" t="s">
        <v>196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</row>
    <row r="58" spans="1:14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</row>
    <row r="59" spans="1:14" x14ac:dyDescent="0.25">
      <c r="A59" s="10" t="s">
        <v>200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</row>
    <row r="60" spans="1:14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</row>
    <row r="61" spans="1:14" x14ac:dyDescent="0.25">
      <c r="A61" s="10" t="s">
        <v>204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</row>
    <row r="62" spans="1:14" x14ac:dyDescent="0.25">
      <c r="A62" s="10" t="s">
        <v>206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</row>
    <row r="63" spans="1:14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5">
      <c r="A65" s="10" t="s">
        <v>212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5">
      <c r="A66" s="10" t="s">
        <v>214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5">
      <c r="A67" s="10" t="s">
        <v>216</v>
      </c>
      <c r="B67" s="15">
        <v>568.77</v>
      </c>
      <c r="C67" s="15">
        <v>568.77</v>
      </c>
      <c r="D67" s="15">
        <v>568.77</v>
      </c>
      <c r="E67" s="15">
        <v>568.77</v>
      </c>
      <c r="F67" s="15">
        <v>568.77</v>
      </c>
      <c r="G67" s="15">
        <v>568.77</v>
      </c>
      <c r="H67" s="15">
        <v>568.77</v>
      </c>
      <c r="I67" s="15">
        <v>568.77</v>
      </c>
      <c r="J67" s="15">
        <v>568.77</v>
      </c>
      <c r="K67" s="15">
        <v>568.77</v>
      </c>
      <c r="L67" s="15">
        <v>568.77</v>
      </c>
      <c r="M67" s="15">
        <v>568.77</v>
      </c>
      <c r="N67" s="15">
        <v>568.77</v>
      </c>
    </row>
    <row r="68" spans="1:14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5">
      <c r="A70" s="10" t="s">
        <v>222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5">
      <c r="A72" s="10" t="s">
        <v>226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</row>
    <row r="75" spans="1:14" x14ac:dyDescent="0.25">
      <c r="A75" s="10" t="s">
        <v>232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>
        <v>0</v>
      </c>
    </row>
    <row r="76" spans="1:14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5">
      <c r="A77" s="10" t="s">
        <v>236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</row>
    <row r="78" spans="1:14" x14ac:dyDescent="0.25">
      <c r="A78" s="10" t="s">
        <v>238</v>
      </c>
      <c r="B78" s="15">
        <v>189.59</v>
      </c>
      <c r="C78" s="15">
        <v>189.59</v>
      </c>
      <c r="D78" s="15">
        <v>189.59</v>
      </c>
      <c r="E78" s="15">
        <v>189.59</v>
      </c>
      <c r="F78" s="15">
        <v>379.18</v>
      </c>
      <c r="G78" s="15">
        <v>189.59</v>
      </c>
      <c r="H78" s="15">
        <v>189.59</v>
      </c>
      <c r="I78" s="15">
        <v>189.59</v>
      </c>
      <c r="J78" s="15">
        <v>189.59</v>
      </c>
      <c r="K78" s="15">
        <v>189.59</v>
      </c>
      <c r="L78" s="15">
        <v>189.59</v>
      </c>
      <c r="M78" s="15">
        <v>189.59</v>
      </c>
      <c r="N78" s="15">
        <v>189.59</v>
      </c>
    </row>
    <row r="79" spans="1:14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</row>
    <row r="80" spans="1:14" x14ac:dyDescent="0.25">
      <c r="A80" s="10" t="s">
        <v>242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</row>
    <row r="81" spans="1:14" x14ac:dyDescent="0.25">
      <c r="A81" s="10" t="s">
        <v>244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</row>
    <row r="82" spans="1:14" x14ac:dyDescent="0.25">
      <c r="A82" s="10" t="s">
        <v>246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</row>
    <row r="83" spans="1:14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>
        <v>0</v>
      </c>
    </row>
    <row r="84" spans="1:14" x14ac:dyDescent="0.25">
      <c r="A84" s="10" t="s">
        <v>250</v>
      </c>
      <c r="B84" s="15">
        <v>189.59</v>
      </c>
      <c r="C84" s="15">
        <v>379.18</v>
      </c>
      <c r="D84" s="15">
        <v>379.18</v>
      </c>
      <c r="E84" s="15">
        <v>379.18</v>
      </c>
      <c r="F84" s="15">
        <v>758.36</v>
      </c>
      <c r="G84" s="15">
        <v>379.18</v>
      </c>
      <c r="H84" s="15">
        <v>379.18</v>
      </c>
      <c r="I84" s="15">
        <v>379.18</v>
      </c>
      <c r="J84" s="15">
        <v>379.18</v>
      </c>
      <c r="K84" s="15">
        <v>379.18</v>
      </c>
      <c r="L84" s="15">
        <v>379.18</v>
      </c>
      <c r="M84" s="15">
        <v>379.18</v>
      </c>
      <c r="N84" s="15">
        <v>379.18</v>
      </c>
    </row>
    <row r="85" spans="1:14" x14ac:dyDescent="0.25">
      <c r="A85" s="10" t="s">
        <v>252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</row>
    <row r="86" spans="1:14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379.18</v>
      </c>
      <c r="F86" s="15">
        <v>379.18</v>
      </c>
      <c r="G86" s="15">
        <v>379.18</v>
      </c>
      <c r="H86" s="15">
        <v>379.18</v>
      </c>
      <c r="I86" s="15">
        <v>379.18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5">
      <c r="A87" s="10" t="s">
        <v>256</v>
      </c>
      <c r="B87" s="15">
        <v>379.18</v>
      </c>
      <c r="C87" s="15">
        <v>379.18</v>
      </c>
      <c r="D87" s="15">
        <v>758.36</v>
      </c>
      <c r="E87" s="15">
        <v>379.18</v>
      </c>
      <c r="F87" s="15">
        <v>379.18</v>
      </c>
      <c r="G87" s="15">
        <v>379.18</v>
      </c>
      <c r="H87" s="15">
        <v>379.18</v>
      </c>
      <c r="I87" s="15">
        <v>379.18</v>
      </c>
      <c r="J87" s="15">
        <v>379.18</v>
      </c>
      <c r="K87" s="15">
        <v>379.18</v>
      </c>
      <c r="L87" s="15">
        <v>379.18</v>
      </c>
      <c r="M87" s="15">
        <v>379.18</v>
      </c>
      <c r="N87" s="15">
        <v>379.18</v>
      </c>
    </row>
    <row r="88" spans="1:14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568.77</v>
      </c>
      <c r="N88" s="15">
        <v>568.77</v>
      </c>
    </row>
    <row r="89" spans="1:14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379.18</v>
      </c>
      <c r="M89" s="15">
        <v>379.18</v>
      </c>
      <c r="N89" s="15">
        <v>379.18</v>
      </c>
    </row>
    <row r="90" spans="1:14" x14ac:dyDescent="0.25">
      <c r="A90" s="10" t="s">
        <v>262</v>
      </c>
      <c r="B90" s="15">
        <v>947.95</v>
      </c>
      <c r="C90" s="15">
        <v>947.95</v>
      </c>
      <c r="D90" s="15">
        <v>947.95</v>
      </c>
      <c r="E90" s="15">
        <v>947.95</v>
      </c>
      <c r="F90" s="15">
        <v>947.95</v>
      </c>
      <c r="G90" s="15">
        <v>947.95</v>
      </c>
      <c r="H90" s="15">
        <v>947.95</v>
      </c>
      <c r="I90" s="15">
        <v>947.95</v>
      </c>
      <c r="J90" s="15">
        <v>947.95</v>
      </c>
      <c r="K90" s="15">
        <v>947.95</v>
      </c>
      <c r="L90" s="15">
        <v>947.95</v>
      </c>
      <c r="M90" s="15">
        <v>1895.9</v>
      </c>
      <c r="N90" s="15">
        <v>947.95</v>
      </c>
    </row>
    <row r="91" spans="1:14" x14ac:dyDescent="0.25">
      <c r="A91" s="10" t="s">
        <v>264</v>
      </c>
      <c r="B91" s="15">
        <v>568.77</v>
      </c>
      <c r="C91" s="15">
        <v>568.77</v>
      </c>
      <c r="D91" s="15">
        <v>568.77</v>
      </c>
      <c r="E91" s="15">
        <v>568.77</v>
      </c>
      <c r="F91" s="15">
        <v>568.77</v>
      </c>
      <c r="G91" s="15">
        <v>568.77</v>
      </c>
      <c r="H91" s="15">
        <v>568.77</v>
      </c>
      <c r="I91" s="15">
        <v>568.77</v>
      </c>
      <c r="J91" s="15">
        <v>568.77</v>
      </c>
      <c r="K91" s="15">
        <v>1137.54</v>
      </c>
      <c r="L91" s="15">
        <v>0</v>
      </c>
      <c r="M91" s="15">
        <v>568.77</v>
      </c>
      <c r="N91" s="15">
        <v>568.77</v>
      </c>
    </row>
    <row r="92" spans="1:14" x14ac:dyDescent="0.25">
      <c r="A92" s="10" t="s">
        <v>266</v>
      </c>
      <c r="B92" s="15">
        <v>379.18</v>
      </c>
      <c r="C92" s="15">
        <v>189.59</v>
      </c>
      <c r="D92" s="15">
        <v>189.59</v>
      </c>
      <c r="E92" s="15">
        <v>189.59</v>
      </c>
      <c r="F92" s="15">
        <v>189.59</v>
      </c>
      <c r="G92" s="15">
        <v>189.59</v>
      </c>
      <c r="H92" s="15">
        <v>189.59</v>
      </c>
      <c r="I92" s="15">
        <v>189.59</v>
      </c>
      <c r="J92" s="15">
        <v>189.59</v>
      </c>
      <c r="K92" s="15">
        <v>189.59</v>
      </c>
      <c r="L92" s="15">
        <v>189.59</v>
      </c>
      <c r="M92" s="15">
        <v>189.59</v>
      </c>
      <c r="N92" s="15">
        <v>189.59</v>
      </c>
    </row>
    <row r="93" spans="1:14" x14ac:dyDescent="0.25">
      <c r="A93" s="10" t="s">
        <v>268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</row>
    <row r="94" spans="1:14" x14ac:dyDescent="0.25">
      <c r="A94" s="10" t="s">
        <v>270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</row>
    <row r="95" spans="1:14" x14ac:dyDescent="0.25">
      <c r="A95" s="10" t="s">
        <v>272</v>
      </c>
      <c r="B95" s="15">
        <v>189.59</v>
      </c>
      <c r="C95" s="15">
        <v>189.59</v>
      </c>
      <c r="D95" s="15">
        <v>189.59</v>
      </c>
      <c r="E95" s="15">
        <v>189.59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189.59</v>
      </c>
    </row>
    <row r="96" spans="1:14" x14ac:dyDescent="0.25">
      <c r="A96" s="10" t="s">
        <v>274</v>
      </c>
      <c r="B96" s="15">
        <v>568.77</v>
      </c>
      <c r="C96" s="15">
        <v>568.77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568.77</v>
      </c>
    </row>
    <row r="97" spans="1:14" x14ac:dyDescent="0.25">
      <c r="A97" s="10" t="s">
        <v>276</v>
      </c>
      <c r="B97" s="15">
        <v>0</v>
      </c>
      <c r="C97" s="15">
        <v>568.77</v>
      </c>
      <c r="D97" s="15">
        <v>568.77</v>
      </c>
      <c r="E97" s="15">
        <v>568.77</v>
      </c>
      <c r="F97" s="15">
        <v>568.77</v>
      </c>
      <c r="G97" s="15">
        <v>568.77</v>
      </c>
      <c r="H97" s="15">
        <v>568.77</v>
      </c>
      <c r="I97" s="15">
        <v>568.77</v>
      </c>
      <c r="J97" s="15">
        <v>568.77</v>
      </c>
      <c r="K97" s="15">
        <v>568.77</v>
      </c>
      <c r="L97" s="15">
        <v>568.77</v>
      </c>
      <c r="M97" s="15">
        <v>568.77</v>
      </c>
      <c r="N97" s="15">
        <v>568.77</v>
      </c>
    </row>
    <row r="98" spans="1:14" x14ac:dyDescent="0.25">
      <c r="A98" s="10" t="s">
        <v>278</v>
      </c>
      <c r="B98" s="15">
        <v>189.59</v>
      </c>
      <c r="C98" s="15">
        <v>189.59</v>
      </c>
      <c r="D98" s="15">
        <v>189.59</v>
      </c>
      <c r="E98" s="15">
        <v>189.59</v>
      </c>
      <c r="F98" s="15">
        <v>189.59</v>
      </c>
      <c r="G98" s="15">
        <v>379.18</v>
      </c>
      <c r="H98" s="15">
        <v>189.59</v>
      </c>
      <c r="I98" s="15">
        <v>189.59</v>
      </c>
      <c r="J98" s="15">
        <v>189.59</v>
      </c>
      <c r="K98" s="15">
        <v>189.59</v>
      </c>
      <c r="L98" s="15">
        <v>189.59</v>
      </c>
      <c r="M98" s="15">
        <v>189.59</v>
      </c>
      <c r="N98" s="15">
        <v>189.59</v>
      </c>
    </row>
    <row r="99" spans="1:14" x14ac:dyDescent="0.25">
      <c r="A99" s="10" t="s">
        <v>280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>
        <v>0</v>
      </c>
    </row>
    <row r="100" spans="1:14" x14ac:dyDescent="0.25">
      <c r="A100" s="10" t="s">
        <v>282</v>
      </c>
      <c r="B100" s="15">
        <v>568.77</v>
      </c>
      <c r="C100" s="15">
        <v>568.77</v>
      </c>
      <c r="D100" s="15">
        <v>568.77</v>
      </c>
      <c r="E100" s="15">
        <v>568.77</v>
      </c>
      <c r="F100" s="15">
        <v>568.77</v>
      </c>
      <c r="G100" s="15">
        <v>568.77</v>
      </c>
      <c r="H100" s="15">
        <v>1137.54</v>
      </c>
      <c r="I100" s="15">
        <v>568.77</v>
      </c>
      <c r="J100" s="15">
        <v>1137.54</v>
      </c>
      <c r="K100" s="15">
        <v>568.77</v>
      </c>
      <c r="L100" s="15">
        <v>568.77</v>
      </c>
      <c r="M100" s="15">
        <v>568.77</v>
      </c>
      <c r="N100" s="15">
        <v>568.77</v>
      </c>
    </row>
    <row r="101" spans="1:14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</row>
    <row r="102" spans="1:14" x14ac:dyDescent="0.25">
      <c r="A102" s="10" t="s">
        <v>286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</row>
    <row r="103" spans="1:14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189.59</v>
      </c>
      <c r="N103" s="15">
        <v>0</v>
      </c>
    </row>
    <row r="104" spans="1:14" x14ac:dyDescent="0.25">
      <c r="A104" s="10" t="s">
        <v>290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</row>
    <row r="105" spans="1:14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568.77</v>
      </c>
      <c r="H105" s="15">
        <v>568.77</v>
      </c>
      <c r="I105" s="15">
        <v>568.77</v>
      </c>
      <c r="J105" s="15">
        <v>568.77</v>
      </c>
      <c r="K105" s="15">
        <v>568.77</v>
      </c>
      <c r="L105" s="15">
        <v>568.77</v>
      </c>
      <c r="M105" s="15">
        <v>568.77</v>
      </c>
      <c r="N105" s="15">
        <v>568.77</v>
      </c>
    </row>
    <row r="106" spans="1:14" x14ac:dyDescent="0.25">
      <c r="A106" s="10" t="s">
        <v>294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</row>
    <row r="107" spans="1:14" x14ac:dyDescent="0.25">
      <c r="A107" s="10" t="s">
        <v>296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</row>
    <row r="108" spans="1:14" x14ac:dyDescent="0.25">
      <c r="A108" s="10" t="s">
        <v>298</v>
      </c>
      <c r="B108" s="15">
        <v>189.59</v>
      </c>
      <c r="C108" s="15">
        <v>189.59</v>
      </c>
      <c r="D108" s="15">
        <v>189.59</v>
      </c>
      <c r="E108" s="15">
        <v>189.59</v>
      </c>
      <c r="F108" s="15">
        <v>189.59</v>
      </c>
      <c r="G108" s="15">
        <v>189.59</v>
      </c>
      <c r="H108" s="15">
        <v>189.59</v>
      </c>
      <c r="I108" s="15">
        <v>189.59</v>
      </c>
      <c r="J108" s="15">
        <v>189.59</v>
      </c>
      <c r="K108" s="15">
        <v>189.59</v>
      </c>
      <c r="L108" s="15">
        <v>189.59</v>
      </c>
      <c r="M108" s="15">
        <v>189.59</v>
      </c>
      <c r="N108" s="15">
        <v>189.59</v>
      </c>
    </row>
    <row r="109" spans="1:14" x14ac:dyDescent="0.25">
      <c r="A109" s="10" t="s">
        <v>300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</row>
    <row r="110" spans="1:14" x14ac:dyDescent="0.25">
      <c r="A110" s="10" t="s">
        <v>302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</row>
    <row r="111" spans="1:14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</row>
    <row r="112" spans="1:14" x14ac:dyDescent="0.25">
      <c r="A112" s="10" t="s">
        <v>306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</row>
    <row r="113" spans="1:14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</row>
    <row r="114" spans="1:14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379.18</v>
      </c>
      <c r="H114" s="15">
        <v>379.18</v>
      </c>
      <c r="I114" s="15">
        <v>379.18</v>
      </c>
      <c r="J114" s="15">
        <v>379.18</v>
      </c>
      <c r="K114" s="15">
        <v>379.18</v>
      </c>
      <c r="L114" s="15">
        <v>379.18</v>
      </c>
      <c r="M114" s="15">
        <v>379.18</v>
      </c>
      <c r="N114" s="15">
        <v>379.18</v>
      </c>
    </row>
    <row r="115" spans="1:14" x14ac:dyDescent="0.25">
      <c r="A115" s="10" t="s">
        <v>312</v>
      </c>
      <c r="B115" s="15">
        <v>379.18</v>
      </c>
      <c r="C115" s="15">
        <v>379.18</v>
      </c>
      <c r="D115" s="15">
        <v>379.18</v>
      </c>
      <c r="E115" s="15">
        <v>379.18</v>
      </c>
      <c r="F115" s="15">
        <v>379.18</v>
      </c>
      <c r="G115" s="15">
        <v>379.18</v>
      </c>
      <c r="H115" s="15">
        <v>379.18</v>
      </c>
      <c r="I115" s="15">
        <v>758.36</v>
      </c>
      <c r="J115" s="15">
        <v>758.36</v>
      </c>
      <c r="K115" s="15">
        <v>379.18</v>
      </c>
      <c r="L115" s="15">
        <v>568.77</v>
      </c>
      <c r="M115" s="15">
        <v>568.77</v>
      </c>
      <c r="N115" s="15">
        <v>568.77</v>
      </c>
    </row>
    <row r="116" spans="1:14" x14ac:dyDescent="0.25">
      <c r="A116" s="10" t="s">
        <v>314</v>
      </c>
      <c r="B116" s="15">
        <v>379.18</v>
      </c>
      <c r="C116" s="15">
        <v>379.18</v>
      </c>
      <c r="D116" s="15">
        <v>379.18</v>
      </c>
      <c r="E116" s="15">
        <v>379.18</v>
      </c>
      <c r="F116" s="15">
        <v>379.18</v>
      </c>
      <c r="G116" s="15">
        <v>379.18</v>
      </c>
      <c r="H116" s="15">
        <v>379.18</v>
      </c>
      <c r="I116" s="15">
        <v>379.18</v>
      </c>
      <c r="J116" s="15">
        <v>758.36</v>
      </c>
      <c r="K116" s="15">
        <v>379.18</v>
      </c>
      <c r="L116" s="15">
        <v>379.18</v>
      </c>
      <c r="M116" s="15">
        <v>379.18</v>
      </c>
      <c r="N116" s="15">
        <v>379.18</v>
      </c>
    </row>
    <row r="117" spans="1:14" x14ac:dyDescent="0.25">
      <c r="A117" s="10" t="s">
        <v>316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</row>
    <row r="118" spans="1:14" x14ac:dyDescent="0.25">
      <c r="A118" s="10" t="s">
        <v>318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</row>
    <row r="119" spans="1:14" x14ac:dyDescent="0.25">
      <c r="A119" s="10" t="s">
        <v>320</v>
      </c>
      <c r="B119" s="15">
        <v>379.18</v>
      </c>
      <c r="C119" s="15">
        <v>379.18</v>
      </c>
      <c r="D119" s="15">
        <v>379.18</v>
      </c>
      <c r="E119" s="15">
        <v>379.18</v>
      </c>
      <c r="F119" s="15">
        <v>379.18</v>
      </c>
      <c r="G119" s="15">
        <v>379.18</v>
      </c>
      <c r="H119" s="15">
        <v>379.18</v>
      </c>
      <c r="I119" s="15">
        <v>379.18</v>
      </c>
      <c r="J119" s="15">
        <v>379.18</v>
      </c>
      <c r="K119" s="15">
        <v>379.18</v>
      </c>
      <c r="L119" s="15">
        <v>379.18</v>
      </c>
      <c r="M119" s="15">
        <v>379.18</v>
      </c>
      <c r="N119" s="15">
        <v>379.18</v>
      </c>
    </row>
    <row r="120" spans="1:14" x14ac:dyDescent="0.25">
      <c r="A120" s="10" t="s">
        <v>322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</row>
    <row r="121" spans="1:14" x14ac:dyDescent="0.25">
      <c r="A121" s="10" t="s">
        <v>324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>
        <v>0</v>
      </c>
    </row>
    <row r="122" spans="1:14" x14ac:dyDescent="0.25">
      <c r="A122" s="10" t="s">
        <v>326</v>
      </c>
      <c r="B122" s="15">
        <v>189.59</v>
      </c>
      <c r="C122" s="15">
        <v>189.59</v>
      </c>
      <c r="D122" s="15">
        <v>189.59</v>
      </c>
      <c r="E122" s="15">
        <v>189.59</v>
      </c>
      <c r="F122" s="15">
        <v>189.59</v>
      </c>
      <c r="G122" s="15">
        <v>379.18</v>
      </c>
      <c r="H122" s="15">
        <v>189.59</v>
      </c>
      <c r="I122" s="15">
        <v>189.59</v>
      </c>
      <c r="J122" s="15">
        <v>189.59</v>
      </c>
      <c r="K122" s="15">
        <v>189.59</v>
      </c>
      <c r="L122" s="15">
        <v>189.59</v>
      </c>
      <c r="M122" s="15">
        <v>189.59</v>
      </c>
      <c r="N122" s="15">
        <v>189.59</v>
      </c>
    </row>
    <row r="123" spans="1:14" x14ac:dyDescent="0.25">
      <c r="A123" s="10" t="s">
        <v>328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</row>
    <row r="124" spans="1:14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</row>
    <row r="125" spans="1:14" x14ac:dyDescent="0.25">
      <c r="A125" s="10" t="s">
        <v>332</v>
      </c>
      <c r="B125" s="15">
        <v>379.18</v>
      </c>
      <c r="C125" s="15">
        <v>379.18</v>
      </c>
      <c r="D125" s="15">
        <v>379.18</v>
      </c>
      <c r="E125" s="15">
        <v>379.18</v>
      </c>
      <c r="F125" s="15">
        <v>379.18</v>
      </c>
      <c r="G125" s="15">
        <v>379.18</v>
      </c>
      <c r="H125" s="15">
        <v>379.18</v>
      </c>
      <c r="I125" s="15">
        <v>758.36</v>
      </c>
      <c r="J125" s="15">
        <v>758.36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5">
      <c r="A126" s="10" t="s">
        <v>334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</row>
    <row r="127" spans="1:14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189.59</v>
      </c>
      <c r="I127" s="15">
        <v>189.59</v>
      </c>
      <c r="J127" s="15">
        <v>189.59</v>
      </c>
      <c r="K127" s="15">
        <v>189.59</v>
      </c>
      <c r="L127" s="15">
        <v>189.59</v>
      </c>
      <c r="M127" s="15">
        <v>189.59</v>
      </c>
      <c r="N127" s="15">
        <v>189.59</v>
      </c>
    </row>
    <row r="128" spans="1:14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</row>
    <row r="129" spans="1:14" x14ac:dyDescent="0.25">
      <c r="A129" s="10" t="s">
        <v>340</v>
      </c>
      <c r="B129" s="15">
        <v>189.59</v>
      </c>
      <c r="C129" s="15">
        <v>189.59</v>
      </c>
      <c r="D129" s="15">
        <v>189.59</v>
      </c>
      <c r="E129" s="15">
        <v>189.59</v>
      </c>
      <c r="F129" s="15">
        <v>189.59</v>
      </c>
      <c r="G129" s="15">
        <v>189.59</v>
      </c>
      <c r="H129" s="15">
        <v>189.59</v>
      </c>
      <c r="I129" s="15">
        <v>189.59</v>
      </c>
      <c r="J129" s="15">
        <v>189.59</v>
      </c>
      <c r="K129" s="15">
        <v>189.59</v>
      </c>
      <c r="L129" s="15">
        <v>189.59</v>
      </c>
      <c r="M129" s="15">
        <v>379.18</v>
      </c>
      <c r="N129" s="15">
        <v>189.59</v>
      </c>
    </row>
    <row r="130" spans="1:14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568.77</v>
      </c>
      <c r="I130" s="15">
        <v>568.77</v>
      </c>
      <c r="J130" s="15">
        <v>568.77</v>
      </c>
      <c r="K130" s="15">
        <v>568.77</v>
      </c>
      <c r="L130" s="15">
        <v>568.77</v>
      </c>
      <c r="M130" s="15">
        <v>568.77</v>
      </c>
      <c r="N130" s="15">
        <v>568.77</v>
      </c>
    </row>
    <row r="131" spans="1:14" x14ac:dyDescent="0.25">
      <c r="A131" s="10" t="s">
        <v>344</v>
      </c>
      <c r="B131" s="15">
        <v>189.59</v>
      </c>
      <c r="C131" s="15">
        <v>189.59</v>
      </c>
      <c r="D131" s="15">
        <v>189.59</v>
      </c>
      <c r="E131" s="15">
        <v>189.59</v>
      </c>
      <c r="F131" s="15">
        <v>189.59</v>
      </c>
      <c r="G131" s="15">
        <v>189.59</v>
      </c>
      <c r="H131" s="15">
        <v>189.59</v>
      </c>
      <c r="I131" s="15">
        <v>189.59</v>
      </c>
      <c r="J131" s="15">
        <v>189.59</v>
      </c>
      <c r="K131" s="15">
        <v>189.59</v>
      </c>
      <c r="L131" s="15">
        <v>189.59</v>
      </c>
      <c r="M131" s="15">
        <v>189.59</v>
      </c>
      <c r="N131" s="15">
        <v>189.59</v>
      </c>
    </row>
    <row r="132" spans="1:14" x14ac:dyDescent="0.25">
      <c r="A132" s="10" t="s">
        <v>346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</row>
    <row r="133" spans="1:14" x14ac:dyDescent="0.25">
      <c r="A133" s="10" t="s">
        <v>348</v>
      </c>
      <c r="B133" s="15">
        <v>379.18</v>
      </c>
      <c r="C133" s="15">
        <v>379.18</v>
      </c>
      <c r="D133" s="15">
        <v>379.18</v>
      </c>
      <c r="E133" s="15">
        <v>379.18</v>
      </c>
      <c r="F133" s="15">
        <v>379.18</v>
      </c>
      <c r="G133" s="15">
        <v>379.18</v>
      </c>
      <c r="H133" s="15">
        <v>379.18</v>
      </c>
      <c r="I133" s="15">
        <v>379.18</v>
      </c>
      <c r="J133" s="15">
        <v>379.18</v>
      </c>
      <c r="K133" s="15">
        <v>379.18</v>
      </c>
      <c r="L133" s="15">
        <v>379.18</v>
      </c>
      <c r="M133" s="15">
        <v>758.36</v>
      </c>
      <c r="N133" s="15">
        <v>379.18</v>
      </c>
    </row>
    <row r="134" spans="1:14" x14ac:dyDescent="0.25">
      <c r="A134" s="10" t="s">
        <v>350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</row>
    <row r="135" spans="1:14" x14ac:dyDescent="0.25">
      <c r="A135" s="10" t="s">
        <v>352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5">
        <v>0</v>
      </c>
    </row>
    <row r="136" spans="1:14" x14ac:dyDescent="0.25">
      <c r="A136" s="10" t="s">
        <v>354</v>
      </c>
      <c r="B136" s="15">
        <v>189.59</v>
      </c>
      <c r="C136" s="15">
        <v>189.59</v>
      </c>
      <c r="D136" s="15">
        <v>379.18</v>
      </c>
      <c r="E136" s="15">
        <v>0</v>
      </c>
      <c r="F136" s="15">
        <v>189.59</v>
      </c>
      <c r="G136" s="15">
        <v>189.59</v>
      </c>
      <c r="H136" s="15">
        <v>189.59</v>
      </c>
      <c r="I136" s="15">
        <v>189.59</v>
      </c>
      <c r="J136" s="15">
        <v>189.59</v>
      </c>
      <c r="K136" s="15">
        <v>379.18</v>
      </c>
      <c r="L136" s="15">
        <v>189.59</v>
      </c>
      <c r="M136" s="15">
        <v>189.59</v>
      </c>
      <c r="N136" s="15">
        <v>189.59</v>
      </c>
    </row>
    <row r="137" spans="1:14" x14ac:dyDescent="0.25">
      <c r="A137" s="10" t="s">
        <v>356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  <c r="N137" s="15">
        <v>0</v>
      </c>
    </row>
    <row r="138" spans="1:14" x14ac:dyDescent="0.25">
      <c r="A138" s="10" t="s">
        <v>358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</row>
    <row r="139" spans="1:14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>
        <v>0</v>
      </c>
    </row>
    <row r="140" spans="1:14" x14ac:dyDescent="0.25">
      <c r="A140" s="10" t="s">
        <v>362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</row>
    <row r="141" spans="1:14" x14ac:dyDescent="0.25">
      <c r="A141" s="10" t="s">
        <v>364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>
        <v>0</v>
      </c>
    </row>
    <row r="142" spans="1:14" x14ac:dyDescent="0.25">
      <c r="A142" s="10" t="s">
        <v>366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</row>
    <row r="143" spans="1:14" x14ac:dyDescent="0.25">
      <c r="A143" s="10" t="s">
        <v>368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</row>
    <row r="144" spans="1:14" x14ac:dyDescent="0.25">
      <c r="A144" s="10" t="s">
        <v>370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</row>
    <row r="145" spans="1:14" x14ac:dyDescent="0.25">
      <c r="A145" s="10" t="s">
        <v>372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>
        <v>0</v>
      </c>
    </row>
    <row r="146" spans="1:14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</row>
    <row r="147" spans="1:14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  <c r="N147" s="15">
        <v>0</v>
      </c>
    </row>
    <row r="148" spans="1:14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189.59</v>
      </c>
      <c r="H148" s="15">
        <v>189.59</v>
      </c>
      <c r="I148" s="15">
        <v>189.59</v>
      </c>
      <c r="J148" s="15">
        <v>189.59</v>
      </c>
      <c r="K148" s="15">
        <v>189.59</v>
      </c>
      <c r="L148" s="15">
        <v>189.59</v>
      </c>
      <c r="M148" s="15">
        <v>189.59</v>
      </c>
      <c r="N148" s="15">
        <v>189.59</v>
      </c>
    </row>
    <row r="149" spans="1:14" x14ac:dyDescent="0.25">
      <c r="A149" s="10" t="s">
        <v>380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</row>
    <row r="150" spans="1:14" x14ac:dyDescent="0.25">
      <c r="A150" s="10" t="s">
        <v>382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</row>
    <row r="151" spans="1:14" x14ac:dyDescent="0.25">
      <c r="A151" s="10" t="s">
        <v>384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</row>
    <row r="152" spans="1:14" x14ac:dyDescent="0.25">
      <c r="A152" s="10" t="s">
        <v>386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</row>
    <row r="153" spans="1:14" x14ac:dyDescent="0.25">
      <c r="A153" s="10" t="s">
        <v>388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  <c r="N153" s="15">
        <v>0</v>
      </c>
    </row>
    <row r="154" spans="1:14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379.18</v>
      </c>
      <c r="G154" s="15">
        <v>379.18</v>
      </c>
      <c r="H154" s="15">
        <v>379.18</v>
      </c>
      <c r="I154" s="15">
        <v>379.18</v>
      </c>
      <c r="J154" s="15">
        <v>379.18</v>
      </c>
      <c r="K154" s="15">
        <v>379.18</v>
      </c>
      <c r="L154" s="15">
        <v>379.18</v>
      </c>
      <c r="M154" s="15">
        <v>379.18</v>
      </c>
      <c r="N154" s="15">
        <v>379.18</v>
      </c>
    </row>
    <row r="155" spans="1:14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  <c r="N155" s="15">
        <v>0</v>
      </c>
    </row>
    <row r="156" spans="1:14" x14ac:dyDescent="0.25">
      <c r="A156" s="10" t="s">
        <v>394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</row>
    <row r="157" spans="1:14" x14ac:dyDescent="0.25">
      <c r="A157" s="10" t="s">
        <v>396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  <c r="N157" s="15">
        <v>0</v>
      </c>
    </row>
    <row r="158" spans="1:14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</row>
    <row r="159" spans="1:14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</row>
    <row r="160" spans="1:14" x14ac:dyDescent="0.25">
      <c r="A160" s="10" t="s">
        <v>402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</row>
    <row r="161" spans="1:14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</row>
    <row r="162" spans="1:14" x14ac:dyDescent="0.25">
      <c r="A162" s="10" t="s">
        <v>406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</row>
    <row r="163" spans="1:14" x14ac:dyDescent="0.25">
      <c r="A163" s="10" t="s">
        <v>408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</row>
    <row r="164" spans="1:14" x14ac:dyDescent="0.25">
      <c r="A164" s="10" t="s">
        <v>410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</row>
    <row r="165" spans="1:14" x14ac:dyDescent="0.25">
      <c r="A165" s="10" t="s">
        <v>412</v>
      </c>
      <c r="B165" s="15">
        <v>0</v>
      </c>
      <c r="C165" s="15">
        <v>0</v>
      </c>
      <c r="D165" s="15">
        <v>189.59</v>
      </c>
      <c r="E165" s="15">
        <v>189.59</v>
      </c>
      <c r="F165" s="15">
        <v>189.59</v>
      </c>
      <c r="G165" s="15">
        <v>189.59</v>
      </c>
      <c r="H165" s="15">
        <v>189.59</v>
      </c>
      <c r="I165" s="15">
        <v>189.59</v>
      </c>
      <c r="J165" s="15">
        <v>189.59</v>
      </c>
      <c r="K165" s="15">
        <v>189.59</v>
      </c>
      <c r="L165" s="15">
        <v>189.59</v>
      </c>
      <c r="M165" s="15">
        <v>189.59</v>
      </c>
      <c r="N165" s="15">
        <v>189.59</v>
      </c>
    </row>
    <row r="166" spans="1:14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</row>
    <row r="167" spans="1:14" x14ac:dyDescent="0.25">
      <c r="A167" s="10" t="s">
        <v>416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>
        <v>0</v>
      </c>
    </row>
    <row r="168" spans="1:14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</row>
    <row r="169" spans="1:14" x14ac:dyDescent="0.25">
      <c r="A169" s="10" t="s">
        <v>420</v>
      </c>
      <c r="B169" s="15">
        <v>0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  <c r="N169" s="15">
        <v>0</v>
      </c>
    </row>
    <row r="170" spans="1:14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</row>
    <row r="171" spans="1:14" x14ac:dyDescent="0.25">
      <c r="A171" s="10" t="s">
        <v>424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>
        <v>0</v>
      </c>
    </row>
    <row r="172" spans="1:14" x14ac:dyDescent="0.25">
      <c r="A172" s="10" t="s">
        <v>426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</row>
    <row r="173" spans="1:14" x14ac:dyDescent="0.25">
      <c r="A173" s="10" t="s">
        <v>428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  <c r="N173" s="15">
        <v>0</v>
      </c>
    </row>
    <row r="174" spans="1:14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189.59</v>
      </c>
      <c r="G174" s="15">
        <v>189.59</v>
      </c>
      <c r="H174" s="15">
        <v>189.59</v>
      </c>
      <c r="I174" s="15">
        <v>189.59</v>
      </c>
      <c r="J174" s="15">
        <v>189.59</v>
      </c>
      <c r="K174" s="15">
        <v>189.59</v>
      </c>
      <c r="L174" s="15">
        <v>189.59</v>
      </c>
      <c r="M174" s="15">
        <v>189.59</v>
      </c>
      <c r="N174" s="15">
        <v>189.59</v>
      </c>
    </row>
    <row r="175" spans="1:14" x14ac:dyDescent="0.25">
      <c r="A175" s="10" t="s">
        <v>432</v>
      </c>
      <c r="B175" s="15">
        <v>0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</row>
    <row r="176" spans="1:14" x14ac:dyDescent="0.25">
      <c r="A176" s="10" t="s">
        <v>434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</row>
    <row r="177" spans="1:14" x14ac:dyDescent="0.25">
      <c r="A177" s="10" t="s">
        <v>436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  <c r="N177" s="15">
        <v>0</v>
      </c>
    </row>
    <row r="178" spans="1:14" x14ac:dyDescent="0.25">
      <c r="A178" s="10" t="s">
        <v>438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</row>
    <row r="179" spans="1:14" x14ac:dyDescent="0.25">
      <c r="A179" s="10" t="s">
        <v>440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  <c r="N179" s="15">
        <v>0</v>
      </c>
    </row>
    <row r="180" spans="1:14" x14ac:dyDescent="0.25">
      <c r="A180" s="10" t="s">
        <v>442</v>
      </c>
      <c r="B180" s="15">
        <v>0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</row>
    <row r="181" spans="1:14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  <c r="N181" s="15">
        <v>0</v>
      </c>
    </row>
    <row r="182" spans="1:14" x14ac:dyDescent="0.25">
      <c r="A182" s="10" t="s">
        <v>446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</row>
    <row r="183" spans="1:14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189.59</v>
      </c>
      <c r="G183" s="15">
        <v>189.59</v>
      </c>
      <c r="H183" s="15">
        <v>189.59</v>
      </c>
      <c r="I183" s="15">
        <v>189.59</v>
      </c>
      <c r="J183" s="15">
        <v>189.59</v>
      </c>
      <c r="K183" s="15">
        <v>189.59</v>
      </c>
      <c r="L183" s="15">
        <v>189.59</v>
      </c>
      <c r="M183" s="15">
        <v>189.59</v>
      </c>
      <c r="N183" s="15">
        <v>189.59</v>
      </c>
    </row>
    <row r="184" spans="1:14" x14ac:dyDescent="0.25">
      <c r="A184" s="10" t="s">
        <v>450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</row>
    <row r="185" spans="1:14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</row>
    <row r="186" spans="1:14" x14ac:dyDescent="0.25">
      <c r="A186" s="10" t="s">
        <v>454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</row>
    <row r="187" spans="1:14" x14ac:dyDescent="0.25">
      <c r="A187" s="10" t="s">
        <v>456</v>
      </c>
      <c r="B187" s="15">
        <v>0</v>
      </c>
      <c r="C187" s="15">
        <v>0</v>
      </c>
      <c r="D187" s="15">
        <v>0</v>
      </c>
      <c r="E187" s="15">
        <v>0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  <c r="N187" s="15">
        <v>0</v>
      </c>
    </row>
    <row r="188" spans="1:14" x14ac:dyDescent="0.25">
      <c r="A188" s="10" t="s">
        <v>458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</row>
    <row r="189" spans="1:14" x14ac:dyDescent="0.25">
      <c r="A189" s="10" t="s">
        <v>460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  <c r="N189" s="15">
        <v>0</v>
      </c>
    </row>
    <row r="190" spans="1:14" x14ac:dyDescent="0.25">
      <c r="A190" s="10" t="s">
        <v>462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</row>
    <row r="191" spans="1:14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  <c r="N191" s="15">
        <v>0</v>
      </c>
    </row>
    <row r="192" spans="1:14" x14ac:dyDescent="0.25">
      <c r="A192" s="10" t="s">
        <v>466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</row>
    <row r="193" spans="1:14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>
        <v>0</v>
      </c>
    </row>
    <row r="194" spans="1:14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</row>
    <row r="195" spans="1:14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  <c r="N195" s="15">
        <v>0</v>
      </c>
    </row>
    <row r="196" spans="1:14" x14ac:dyDescent="0.25">
      <c r="A196" s="10" t="s">
        <v>474</v>
      </c>
      <c r="B196" s="15">
        <v>0</v>
      </c>
      <c r="C196" s="15">
        <v>0</v>
      </c>
      <c r="D196" s="15">
        <v>0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</row>
    <row r="197" spans="1:14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379.18</v>
      </c>
      <c r="N197" s="15">
        <v>379.18</v>
      </c>
    </row>
    <row r="198" spans="1:14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379.18</v>
      </c>
      <c r="F198" s="15">
        <v>379.18</v>
      </c>
      <c r="G198" s="15">
        <v>379.18</v>
      </c>
      <c r="H198" s="15">
        <v>379.18</v>
      </c>
      <c r="I198" s="15">
        <v>379.18</v>
      </c>
      <c r="J198" s="15">
        <v>379.18</v>
      </c>
      <c r="K198" s="15">
        <v>379.18</v>
      </c>
      <c r="L198" s="15">
        <v>379.18</v>
      </c>
      <c r="M198" s="15">
        <v>379.18</v>
      </c>
      <c r="N198" s="15">
        <v>379.18</v>
      </c>
    </row>
    <row r="199" spans="1:14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568.77</v>
      </c>
      <c r="H199" s="15">
        <v>568.77</v>
      </c>
      <c r="I199" s="15">
        <v>568.77</v>
      </c>
      <c r="J199" s="15">
        <v>568.77</v>
      </c>
      <c r="K199" s="15">
        <v>568.77</v>
      </c>
      <c r="L199" s="15">
        <v>568.77</v>
      </c>
      <c r="M199" s="15">
        <v>568.77</v>
      </c>
      <c r="N199" s="15">
        <v>568.77</v>
      </c>
    </row>
    <row r="200" spans="1:14" x14ac:dyDescent="0.25">
      <c r="A200" s="10" t="s">
        <v>482</v>
      </c>
      <c r="B200" s="15">
        <v>189.59</v>
      </c>
      <c r="C200" s="15">
        <v>189.59</v>
      </c>
      <c r="D200" s="15">
        <v>189.59</v>
      </c>
      <c r="E200" s="15">
        <v>189.59</v>
      </c>
      <c r="F200" s="15">
        <v>189.59</v>
      </c>
      <c r="G200" s="15">
        <v>379.18</v>
      </c>
      <c r="H200" s="15">
        <v>189.59</v>
      </c>
      <c r="I200" s="15">
        <v>189.59</v>
      </c>
      <c r="J200" s="15">
        <v>189.59</v>
      </c>
      <c r="K200" s="15">
        <v>189.59</v>
      </c>
      <c r="L200" s="15">
        <v>189.59</v>
      </c>
      <c r="M200" s="15">
        <v>0</v>
      </c>
      <c r="N200" s="15">
        <v>189.59</v>
      </c>
    </row>
    <row r="201" spans="1:14" x14ac:dyDescent="0.25">
      <c r="A201" s="10" t="s">
        <v>484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  <c r="N201" s="15">
        <v>0</v>
      </c>
    </row>
    <row r="202" spans="1:14" x14ac:dyDescent="0.25">
      <c r="A202" s="10" t="s">
        <v>486</v>
      </c>
      <c r="B202" s="15">
        <v>0</v>
      </c>
      <c r="C202" s="15">
        <v>0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</row>
    <row r="203" spans="1:14" x14ac:dyDescent="0.25">
      <c r="A203" s="10" t="s">
        <v>488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0</v>
      </c>
    </row>
    <row r="204" spans="1:14" x14ac:dyDescent="0.25">
      <c r="A204" s="10" t="s">
        <v>490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</row>
    <row r="205" spans="1:14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  <c r="N205" s="15">
        <v>0</v>
      </c>
    </row>
    <row r="206" spans="1:14" x14ac:dyDescent="0.25">
      <c r="A206" s="10" t="s">
        <v>494</v>
      </c>
      <c r="B206" s="15">
        <v>0</v>
      </c>
      <c r="C206" s="15">
        <v>0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</row>
    <row r="207" spans="1:14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379.18</v>
      </c>
      <c r="H207" s="15">
        <v>379.18</v>
      </c>
      <c r="I207" s="15">
        <v>379.18</v>
      </c>
      <c r="J207" s="15">
        <v>379.18</v>
      </c>
      <c r="K207" s="15">
        <v>379.18</v>
      </c>
      <c r="L207" s="15">
        <v>379.18</v>
      </c>
      <c r="M207" s="15">
        <v>379.18</v>
      </c>
      <c r="N207" s="15">
        <v>379.18</v>
      </c>
    </row>
    <row r="208" spans="1:14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</row>
    <row r="209" spans="1:14" x14ac:dyDescent="0.25">
      <c r="A209" s="10" t="s">
        <v>500</v>
      </c>
      <c r="B209" s="15">
        <v>0</v>
      </c>
      <c r="C209" s="15">
        <v>0</v>
      </c>
      <c r="D209" s="15">
        <v>0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  <c r="N209" s="15">
        <v>0</v>
      </c>
    </row>
    <row r="210" spans="1:14" x14ac:dyDescent="0.25">
      <c r="A210" s="10" t="s">
        <v>502</v>
      </c>
      <c r="B210" s="15">
        <v>568.77</v>
      </c>
      <c r="C210" s="15">
        <v>568.77</v>
      </c>
      <c r="D210" s="15">
        <v>568.77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568.77</v>
      </c>
    </row>
    <row r="211" spans="1:14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189.59</v>
      </c>
      <c r="I211" s="15">
        <v>189.59</v>
      </c>
      <c r="J211" s="15">
        <v>189.59</v>
      </c>
      <c r="K211" s="15">
        <v>189.59</v>
      </c>
      <c r="L211" s="15">
        <v>189.59</v>
      </c>
      <c r="M211" s="15">
        <v>189.59</v>
      </c>
      <c r="N211" s="15">
        <v>189.59</v>
      </c>
    </row>
    <row r="212" spans="1:14" x14ac:dyDescent="0.25">
      <c r="A212" s="10" t="s">
        <v>506</v>
      </c>
      <c r="B212" s="15">
        <v>379.18</v>
      </c>
      <c r="C212" s="15">
        <v>379.18</v>
      </c>
      <c r="D212" s="15">
        <v>379.18</v>
      </c>
      <c r="E212" s="15">
        <v>379.18</v>
      </c>
      <c r="F212" s="15">
        <v>379.18</v>
      </c>
      <c r="G212" s="15">
        <v>379.18</v>
      </c>
      <c r="H212" s="15">
        <v>379.18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379.18</v>
      </c>
    </row>
    <row r="213" spans="1:14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379.18</v>
      </c>
      <c r="K213" s="15">
        <v>379.18</v>
      </c>
      <c r="L213" s="15">
        <v>379.18</v>
      </c>
      <c r="M213" s="15">
        <v>379.18</v>
      </c>
      <c r="N213" s="15">
        <v>379.18</v>
      </c>
    </row>
    <row r="214" spans="1:14" x14ac:dyDescent="0.25">
      <c r="A214" s="10" t="s">
        <v>510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</row>
    <row r="215" spans="1:14" x14ac:dyDescent="0.25">
      <c r="A215" s="10" t="s">
        <v>512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7"/>
  <dimension ref="A1:N215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88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</row>
    <row r="4" spans="1:14" x14ac:dyDescent="0.25">
      <c r="A4" s="10" t="s">
        <v>90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</row>
    <row r="5" spans="1:14" x14ac:dyDescent="0.25">
      <c r="A5" s="10" t="s">
        <v>92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</row>
    <row r="6" spans="1:14" x14ac:dyDescent="0.25">
      <c r="A6" s="10" t="s">
        <v>94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</row>
    <row r="7" spans="1:14" x14ac:dyDescent="0.25">
      <c r="A7" s="10" t="s">
        <v>96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</row>
    <row r="8" spans="1:14" x14ac:dyDescent="0.25">
      <c r="A8" s="10" t="s">
        <v>98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</row>
    <row r="9" spans="1:14" x14ac:dyDescent="0.25">
      <c r="A9" s="10" t="s">
        <v>100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</row>
    <row r="11" spans="1:14" x14ac:dyDescent="0.25">
      <c r="A11" s="10" t="s">
        <v>104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25">
      <c r="A12" s="10" t="s">
        <v>106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10" t="s">
        <v>110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10" t="s">
        <v>112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</row>
    <row r="16" spans="1:14" x14ac:dyDescent="0.25">
      <c r="A16" s="10" t="s">
        <v>114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</row>
    <row r="17" spans="1:14" x14ac:dyDescent="0.25">
      <c r="A17" s="10" t="s">
        <v>116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</row>
    <row r="18" spans="1:14" x14ac:dyDescent="0.25">
      <c r="A18" s="10" t="s">
        <v>118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</row>
    <row r="20" spans="1:14" x14ac:dyDescent="0.25">
      <c r="A20" s="10" t="s">
        <v>122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</row>
    <row r="21" spans="1:14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</row>
    <row r="22" spans="1:14" x14ac:dyDescent="0.25">
      <c r="A22" s="10" t="s">
        <v>126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</row>
    <row r="23" spans="1:14" x14ac:dyDescent="0.25">
      <c r="A23" s="10" t="s">
        <v>128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</row>
    <row r="24" spans="1:14" x14ac:dyDescent="0.25">
      <c r="A24" s="10" t="s">
        <v>130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</row>
    <row r="25" spans="1:14" x14ac:dyDescent="0.25">
      <c r="A25" s="10" t="s">
        <v>132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</row>
    <row r="26" spans="1:14" x14ac:dyDescent="0.25">
      <c r="A26" s="10" t="s">
        <v>134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</row>
    <row r="27" spans="1:14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</row>
    <row r="28" spans="1:14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</row>
    <row r="29" spans="1:14" x14ac:dyDescent="0.25">
      <c r="A29" s="10" t="s">
        <v>140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</row>
    <row r="30" spans="1:14" x14ac:dyDescent="0.25">
      <c r="A30" s="10" t="s">
        <v>142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</row>
    <row r="31" spans="1:14" x14ac:dyDescent="0.25">
      <c r="A31" s="10" t="s">
        <v>144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</row>
    <row r="32" spans="1:14" x14ac:dyDescent="0.25">
      <c r="A32" s="10" t="s">
        <v>146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</row>
    <row r="33" spans="1:14" x14ac:dyDescent="0.25">
      <c r="A33" s="10" t="s">
        <v>148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</row>
    <row r="34" spans="1:14" x14ac:dyDescent="0.25">
      <c r="A34" s="10" t="s">
        <v>150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</row>
    <row r="35" spans="1:14" x14ac:dyDescent="0.25">
      <c r="A35" s="10" t="s">
        <v>152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</row>
    <row r="36" spans="1:14" x14ac:dyDescent="0.25">
      <c r="A36" s="10" t="s">
        <v>154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</row>
    <row r="37" spans="1:14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</row>
    <row r="38" spans="1:14" x14ac:dyDescent="0.25">
      <c r="A38" s="10" t="s">
        <v>158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</row>
    <row r="39" spans="1:14" x14ac:dyDescent="0.25">
      <c r="A39" s="10" t="s">
        <v>160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</row>
    <row r="40" spans="1:14" x14ac:dyDescent="0.25">
      <c r="A40" s="10" t="s">
        <v>162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</row>
    <row r="41" spans="1:14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</row>
    <row r="42" spans="1:14" x14ac:dyDescent="0.25">
      <c r="A42" s="10" t="s">
        <v>166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</row>
    <row r="43" spans="1:14" x14ac:dyDescent="0.25">
      <c r="A43" s="10" t="s">
        <v>168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</row>
    <row r="44" spans="1:14" x14ac:dyDescent="0.25">
      <c r="A44" s="10" t="s">
        <v>170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</row>
    <row r="45" spans="1:14" x14ac:dyDescent="0.25">
      <c r="A45" s="10" t="s">
        <v>172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</row>
    <row r="46" spans="1:14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</row>
    <row r="47" spans="1:14" x14ac:dyDescent="0.25">
      <c r="A47" s="10" t="s">
        <v>176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</row>
    <row r="48" spans="1:14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</row>
    <row r="49" spans="1:14" x14ac:dyDescent="0.25">
      <c r="A49" s="10" t="s">
        <v>180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</row>
    <row r="50" spans="1:14" x14ac:dyDescent="0.25">
      <c r="A50" s="10" t="s">
        <v>182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</row>
    <row r="51" spans="1:14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</row>
    <row r="52" spans="1:14" x14ac:dyDescent="0.25">
      <c r="A52" s="10" t="s">
        <v>186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</row>
    <row r="53" spans="1:14" x14ac:dyDescent="0.25">
      <c r="A53" s="10" t="s">
        <v>188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</row>
    <row r="54" spans="1:14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</row>
    <row r="55" spans="1:14" x14ac:dyDescent="0.25">
      <c r="A55" s="10" t="s">
        <v>192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</row>
    <row r="56" spans="1:14" x14ac:dyDescent="0.25">
      <c r="A56" s="10" t="s">
        <v>194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</row>
    <row r="57" spans="1:14" x14ac:dyDescent="0.25">
      <c r="A57" s="10" t="s">
        <v>196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</row>
    <row r="58" spans="1:14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</row>
    <row r="59" spans="1:14" x14ac:dyDescent="0.25">
      <c r="A59" s="10" t="s">
        <v>200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</row>
    <row r="60" spans="1:14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</row>
    <row r="61" spans="1:14" x14ac:dyDescent="0.25">
      <c r="A61" s="10" t="s">
        <v>204</v>
      </c>
      <c r="B61" s="15">
        <v>0</v>
      </c>
      <c r="C61" s="15">
        <v>0</v>
      </c>
      <c r="D61" s="15">
        <v>0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</row>
    <row r="62" spans="1:14" x14ac:dyDescent="0.25">
      <c r="A62" s="10" t="s">
        <v>206</v>
      </c>
      <c r="B62" s="15">
        <v>0</v>
      </c>
      <c r="C62" s="15">
        <v>0</v>
      </c>
      <c r="D62" s="15">
        <v>0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</row>
    <row r="63" spans="1:14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>
        <v>0</v>
      </c>
    </row>
    <row r="64" spans="1:14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</row>
    <row r="65" spans="1:14" x14ac:dyDescent="0.25">
      <c r="A65" s="10" t="s">
        <v>212</v>
      </c>
      <c r="B65" s="15">
        <v>0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</row>
    <row r="66" spans="1:14" x14ac:dyDescent="0.25">
      <c r="A66" s="10" t="s">
        <v>214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</row>
    <row r="67" spans="1:14" x14ac:dyDescent="0.25">
      <c r="A67" s="10" t="s">
        <v>216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</row>
    <row r="68" spans="1:14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</row>
    <row r="69" spans="1:14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</row>
    <row r="70" spans="1:14" x14ac:dyDescent="0.25">
      <c r="A70" s="10" t="s">
        <v>222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</row>
    <row r="71" spans="1:14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5">
      <c r="A72" s="10" t="s">
        <v>226</v>
      </c>
      <c r="B72" s="15">
        <v>0</v>
      </c>
      <c r="C72" s="15">
        <v>0</v>
      </c>
      <c r="D72" s="15">
        <v>0</v>
      </c>
      <c r="E72" s="15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</row>
    <row r="73" spans="1:14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</row>
    <row r="74" spans="1:14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</row>
    <row r="75" spans="1:14" x14ac:dyDescent="0.25">
      <c r="A75" s="10" t="s">
        <v>232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>
        <v>0</v>
      </c>
    </row>
    <row r="76" spans="1:14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5">
      <c r="A77" s="10" t="s">
        <v>236</v>
      </c>
      <c r="B77" s="15">
        <v>0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</row>
    <row r="78" spans="1:14" x14ac:dyDescent="0.25">
      <c r="A78" s="10" t="s">
        <v>238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</row>
    <row r="79" spans="1:14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</row>
    <row r="80" spans="1:14" x14ac:dyDescent="0.25">
      <c r="A80" s="10" t="s">
        <v>242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</row>
    <row r="81" spans="1:14" x14ac:dyDescent="0.25">
      <c r="A81" s="10" t="s">
        <v>244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</row>
    <row r="82" spans="1:14" x14ac:dyDescent="0.25">
      <c r="A82" s="10" t="s">
        <v>246</v>
      </c>
      <c r="B82" s="15">
        <v>0</v>
      </c>
      <c r="C82" s="15">
        <v>0</v>
      </c>
      <c r="D82" s="15">
        <v>0</v>
      </c>
      <c r="E82" s="15">
        <v>0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</row>
    <row r="83" spans="1:14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>
        <v>0</v>
      </c>
    </row>
    <row r="84" spans="1:14" x14ac:dyDescent="0.25">
      <c r="A84" s="10" t="s">
        <v>250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</row>
    <row r="85" spans="1:14" x14ac:dyDescent="0.25">
      <c r="A85" s="10" t="s">
        <v>252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</row>
    <row r="86" spans="1:14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5">
      <c r="A87" s="10" t="s">
        <v>256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  <c r="N87" s="15">
        <v>0</v>
      </c>
    </row>
    <row r="88" spans="1:14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</row>
    <row r="89" spans="1:14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>
        <v>0</v>
      </c>
    </row>
    <row r="90" spans="1:14" x14ac:dyDescent="0.25">
      <c r="A90" s="10" t="s">
        <v>262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</row>
    <row r="91" spans="1:14" x14ac:dyDescent="0.25">
      <c r="A91" s="10" t="s">
        <v>264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  <c r="N91" s="15">
        <v>0</v>
      </c>
    </row>
    <row r="92" spans="1:14" x14ac:dyDescent="0.25">
      <c r="A92" s="10" t="s">
        <v>266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</row>
    <row r="93" spans="1:14" x14ac:dyDescent="0.25">
      <c r="A93" s="10" t="s">
        <v>268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</row>
    <row r="94" spans="1:14" x14ac:dyDescent="0.25">
      <c r="A94" s="10" t="s">
        <v>270</v>
      </c>
      <c r="B94" s="15">
        <v>0</v>
      </c>
      <c r="C94" s="15">
        <v>0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</row>
    <row r="95" spans="1:14" x14ac:dyDescent="0.25">
      <c r="A95" s="10" t="s">
        <v>272</v>
      </c>
      <c r="B95" s="15">
        <v>0</v>
      </c>
      <c r="C95" s="15">
        <v>0</v>
      </c>
      <c r="D95" s="15">
        <v>0</v>
      </c>
      <c r="E95" s="15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0</v>
      </c>
    </row>
    <row r="96" spans="1:14" x14ac:dyDescent="0.25">
      <c r="A96" s="10" t="s">
        <v>274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</row>
    <row r="97" spans="1:14" x14ac:dyDescent="0.25">
      <c r="A97" s="10" t="s">
        <v>276</v>
      </c>
      <c r="B97" s="15">
        <v>0</v>
      </c>
      <c r="C97" s="15">
        <v>0</v>
      </c>
      <c r="D97" s="15">
        <v>0</v>
      </c>
      <c r="E97" s="15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</row>
    <row r="98" spans="1:14" x14ac:dyDescent="0.25">
      <c r="A98" s="10" t="s">
        <v>278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</row>
    <row r="99" spans="1:14" x14ac:dyDescent="0.25">
      <c r="A99" s="10" t="s">
        <v>280</v>
      </c>
      <c r="B99" s="15">
        <v>0</v>
      </c>
      <c r="C99" s="15">
        <v>0</v>
      </c>
      <c r="D99" s="15">
        <v>0</v>
      </c>
      <c r="E99" s="15">
        <v>0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>
        <v>0</v>
      </c>
    </row>
    <row r="100" spans="1:14" x14ac:dyDescent="0.25">
      <c r="A100" s="10" t="s">
        <v>282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</row>
    <row r="101" spans="1:14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</row>
    <row r="102" spans="1:14" x14ac:dyDescent="0.25">
      <c r="A102" s="10" t="s">
        <v>286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</row>
    <row r="103" spans="1:14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</row>
    <row r="104" spans="1:14" x14ac:dyDescent="0.25">
      <c r="A104" s="10" t="s">
        <v>290</v>
      </c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</row>
    <row r="105" spans="1:14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</row>
    <row r="106" spans="1:14" x14ac:dyDescent="0.25">
      <c r="A106" s="10" t="s">
        <v>294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</row>
    <row r="107" spans="1:14" x14ac:dyDescent="0.25">
      <c r="A107" s="10" t="s">
        <v>296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</row>
    <row r="108" spans="1:14" x14ac:dyDescent="0.25">
      <c r="A108" s="10" t="s">
        <v>298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</row>
    <row r="109" spans="1:14" x14ac:dyDescent="0.25">
      <c r="A109" s="10" t="s">
        <v>300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</row>
    <row r="110" spans="1:14" x14ac:dyDescent="0.25">
      <c r="A110" s="10" t="s">
        <v>302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</row>
    <row r="111" spans="1:14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</row>
    <row r="112" spans="1:14" x14ac:dyDescent="0.25">
      <c r="A112" s="10" t="s">
        <v>306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</row>
    <row r="113" spans="1:14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</row>
    <row r="114" spans="1:14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</row>
    <row r="115" spans="1:14" x14ac:dyDescent="0.25">
      <c r="A115" s="10" t="s">
        <v>312</v>
      </c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</row>
    <row r="116" spans="1:14" x14ac:dyDescent="0.25">
      <c r="A116" s="10" t="s">
        <v>314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</row>
    <row r="117" spans="1:14" x14ac:dyDescent="0.25">
      <c r="A117" s="10" t="s">
        <v>316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</row>
    <row r="118" spans="1:14" x14ac:dyDescent="0.25">
      <c r="A118" s="10" t="s">
        <v>318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</row>
    <row r="119" spans="1:14" x14ac:dyDescent="0.25">
      <c r="A119" s="10" t="s">
        <v>320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</row>
    <row r="120" spans="1:14" x14ac:dyDescent="0.25">
      <c r="A120" s="10" t="s">
        <v>322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</row>
    <row r="121" spans="1:14" x14ac:dyDescent="0.25">
      <c r="A121" s="10" t="s">
        <v>324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>
        <v>0</v>
      </c>
    </row>
    <row r="122" spans="1:14" x14ac:dyDescent="0.25">
      <c r="A122" s="10" t="s">
        <v>326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</row>
    <row r="123" spans="1:14" x14ac:dyDescent="0.25">
      <c r="A123" s="10" t="s">
        <v>328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</row>
    <row r="124" spans="1:14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</row>
    <row r="125" spans="1:14" x14ac:dyDescent="0.25">
      <c r="A125" s="10" t="s">
        <v>332</v>
      </c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5">
      <c r="A126" s="10" t="s">
        <v>334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</row>
    <row r="127" spans="1:14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</row>
    <row r="128" spans="1:14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</row>
    <row r="129" spans="1:14" x14ac:dyDescent="0.25">
      <c r="A129" s="10" t="s">
        <v>340</v>
      </c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</row>
    <row r="130" spans="1:14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</row>
    <row r="131" spans="1:14" x14ac:dyDescent="0.25">
      <c r="A131" s="10" t="s">
        <v>344</v>
      </c>
      <c r="B131" s="15">
        <v>0</v>
      </c>
      <c r="C131" s="15">
        <v>0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</row>
    <row r="132" spans="1:14" x14ac:dyDescent="0.25">
      <c r="A132" s="10" t="s">
        <v>346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</row>
    <row r="133" spans="1:14" x14ac:dyDescent="0.25">
      <c r="A133" s="10" t="s">
        <v>348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  <c r="N133" s="15">
        <v>0</v>
      </c>
    </row>
    <row r="134" spans="1:14" x14ac:dyDescent="0.25">
      <c r="A134" s="10" t="s">
        <v>350</v>
      </c>
      <c r="B134" s="15">
        <v>0</v>
      </c>
      <c r="C134" s="15">
        <v>0</v>
      </c>
      <c r="D134" s="15">
        <v>0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</row>
    <row r="135" spans="1:14" x14ac:dyDescent="0.25">
      <c r="A135" s="10" t="s">
        <v>352</v>
      </c>
      <c r="B135" s="15">
        <v>0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5">
        <v>0</v>
      </c>
    </row>
    <row r="136" spans="1:14" x14ac:dyDescent="0.25">
      <c r="A136" s="10" t="s">
        <v>354</v>
      </c>
      <c r="B136" s="15">
        <v>0</v>
      </c>
      <c r="C136" s="15">
        <v>0</v>
      </c>
      <c r="D136" s="15">
        <v>0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</row>
    <row r="137" spans="1:14" x14ac:dyDescent="0.25">
      <c r="A137" s="10" t="s">
        <v>356</v>
      </c>
      <c r="B137" s="15">
        <v>0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  <c r="N137" s="15">
        <v>0</v>
      </c>
    </row>
    <row r="138" spans="1:14" x14ac:dyDescent="0.25">
      <c r="A138" s="10" t="s">
        <v>358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</row>
    <row r="139" spans="1:14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>
        <v>0</v>
      </c>
    </row>
    <row r="140" spans="1:14" x14ac:dyDescent="0.25">
      <c r="A140" s="10" t="s">
        <v>362</v>
      </c>
      <c r="B140" s="15">
        <v>0</v>
      </c>
      <c r="C140" s="15">
        <v>0</v>
      </c>
      <c r="D140" s="15">
        <v>0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</row>
    <row r="141" spans="1:14" x14ac:dyDescent="0.25">
      <c r="A141" s="10" t="s">
        <v>364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>
        <v>0</v>
      </c>
    </row>
    <row r="142" spans="1:14" x14ac:dyDescent="0.25">
      <c r="A142" s="10" t="s">
        <v>366</v>
      </c>
      <c r="B142" s="15">
        <v>0</v>
      </c>
      <c r="C142" s="15">
        <v>0</v>
      </c>
      <c r="D142" s="15">
        <v>0</v>
      </c>
      <c r="E142" s="15">
        <v>0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</row>
    <row r="143" spans="1:14" x14ac:dyDescent="0.25">
      <c r="A143" s="10" t="s">
        <v>368</v>
      </c>
      <c r="B143" s="15">
        <v>0</v>
      </c>
      <c r="C143" s="15">
        <v>0</v>
      </c>
      <c r="D143" s="15">
        <v>0</v>
      </c>
      <c r="E143" s="15">
        <v>0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>
        <v>0</v>
      </c>
    </row>
    <row r="144" spans="1:14" x14ac:dyDescent="0.25">
      <c r="A144" s="10" t="s">
        <v>370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</row>
    <row r="145" spans="1:14" x14ac:dyDescent="0.25">
      <c r="A145" s="10" t="s">
        <v>372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>
        <v>0</v>
      </c>
    </row>
    <row r="146" spans="1:14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</row>
    <row r="147" spans="1:14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  <c r="N147" s="15">
        <v>0</v>
      </c>
    </row>
    <row r="148" spans="1:14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</row>
    <row r="149" spans="1:14" x14ac:dyDescent="0.25">
      <c r="A149" s="10" t="s">
        <v>380</v>
      </c>
      <c r="B149" s="15">
        <v>0</v>
      </c>
      <c r="C149" s="15">
        <v>0</v>
      </c>
      <c r="D149" s="15">
        <v>0</v>
      </c>
      <c r="E149" s="15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>
        <v>0</v>
      </c>
    </row>
    <row r="150" spans="1:14" x14ac:dyDescent="0.25">
      <c r="A150" s="10" t="s">
        <v>382</v>
      </c>
      <c r="B150" s="15">
        <v>0</v>
      </c>
      <c r="C150" s="15">
        <v>0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</row>
    <row r="151" spans="1:14" x14ac:dyDescent="0.25">
      <c r="A151" s="10" t="s">
        <v>384</v>
      </c>
      <c r="B151" s="15">
        <v>0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</row>
    <row r="152" spans="1:14" x14ac:dyDescent="0.25">
      <c r="A152" s="10" t="s">
        <v>386</v>
      </c>
      <c r="B152" s="15">
        <v>0</v>
      </c>
      <c r="C152" s="15">
        <v>0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</row>
    <row r="153" spans="1:14" x14ac:dyDescent="0.25">
      <c r="A153" s="10" t="s">
        <v>388</v>
      </c>
      <c r="B153" s="15">
        <v>0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  <c r="N153" s="15">
        <v>0</v>
      </c>
    </row>
    <row r="154" spans="1:14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</row>
    <row r="155" spans="1:14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  <c r="N155" s="15">
        <v>0</v>
      </c>
    </row>
    <row r="156" spans="1:14" x14ac:dyDescent="0.25">
      <c r="A156" s="10" t="s">
        <v>394</v>
      </c>
      <c r="B156" s="15">
        <v>0</v>
      </c>
      <c r="C156" s="15">
        <v>0</v>
      </c>
      <c r="D156" s="15">
        <v>0</v>
      </c>
      <c r="E156" s="15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</row>
    <row r="157" spans="1:14" x14ac:dyDescent="0.25">
      <c r="A157" s="10" t="s">
        <v>396</v>
      </c>
      <c r="B157" s="15">
        <v>0</v>
      </c>
      <c r="C157" s="15">
        <v>0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  <c r="N157" s="15">
        <v>0</v>
      </c>
    </row>
    <row r="158" spans="1:14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</row>
    <row r="159" spans="1:14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</row>
    <row r="160" spans="1:14" x14ac:dyDescent="0.25">
      <c r="A160" s="10" t="s">
        <v>402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</row>
    <row r="161" spans="1:14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</row>
    <row r="162" spans="1:14" x14ac:dyDescent="0.25">
      <c r="A162" s="10" t="s">
        <v>406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</row>
    <row r="163" spans="1:14" x14ac:dyDescent="0.25">
      <c r="A163" s="10" t="s">
        <v>408</v>
      </c>
      <c r="B163" s="15">
        <v>0</v>
      </c>
      <c r="C163" s="15">
        <v>0</v>
      </c>
      <c r="D163" s="15">
        <v>0</v>
      </c>
      <c r="E163" s="15">
        <v>0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>
        <v>0</v>
      </c>
    </row>
    <row r="164" spans="1:14" x14ac:dyDescent="0.25">
      <c r="A164" s="10" t="s">
        <v>410</v>
      </c>
      <c r="B164" s="15">
        <v>0</v>
      </c>
      <c r="C164" s="15">
        <v>0</v>
      </c>
      <c r="D164" s="15">
        <v>0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</row>
    <row r="165" spans="1:14" x14ac:dyDescent="0.25">
      <c r="A165" s="10" t="s">
        <v>412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  <c r="N165" s="15">
        <v>0</v>
      </c>
    </row>
    <row r="166" spans="1:14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</row>
    <row r="167" spans="1:14" x14ac:dyDescent="0.25">
      <c r="A167" s="10" t="s">
        <v>416</v>
      </c>
      <c r="B167" s="15">
        <v>0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>
        <v>0</v>
      </c>
    </row>
    <row r="168" spans="1:14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</row>
    <row r="169" spans="1:14" x14ac:dyDescent="0.25">
      <c r="A169" s="10" t="s">
        <v>420</v>
      </c>
      <c r="B169" s="15">
        <v>0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  <c r="N169" s="15">
        <v>0</v>
      </c>
    </row>
    <row r="170" spans="1:14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</row>
    <row r="171" spans="1:14" x14ac:dyDescent="0.25">
      <c r="A171" s="10" t="s">
        <v>424</v>
      </c>
      <c r="B171" s="15">
        <v>0</v>
      </c>
      <c r="C171" s="15">
        <v>0</v>
      </c>
      <c r="D171" s="15">
        <v>0</v>
      </c>
      <c r="E171" s="15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>
        <v>0</v>
      </c>
    </row>
    <row r="172" spans="1:14" x14ac:dyDescent="0.25">
      <c r="A172" s="10" t="s">
        <v>426</v>
      </c>
      <c r="B172" s="15">
        <v>0</v>
      </c>
      <c r="C172" s="15">
        <v>0</v>
      </c>
      <c r="D172" s="15">
        <v>0</v>
      </c>
      <c r="E172" s="15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</row>
    <row r="173" spans="1:14" x14ac:dyDescent="0.25">
      <c r="A173" s="10" t="s">
        <v>428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  <c r="N173" s="15">
        <v>0</v>
      </c>
    </row>
    <row r="174" spans="1:14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</row>
    <row r="175" spans="1:14" x14ac:dyDescent="0.25">
      <c r="A175" s="10" t="s">
        <v>432</v>
      </c>
      <c r="B175" s="15">
        <v>0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</row>
    <row r="176" spans="1:14" x14ac:dyDescent="0.25">
      <c r="A176" s="10" t="s">
        <v>434</v>
      </c>
      <c r="B176" s="15">
        <v>0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</row>
    <row r="177" spans="1:14" x14ac:dyDescent="0.25">
      <c r="A177" s="10" t="s">
        <v>436</v>
      </c>
      <c r="B177" s="15">
        <v>0</v>
      </c>
      <c r="C177" s="15">
        <v>0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  <c r="N177" s="15">
        <v>0</v>
      </c>
    </row>
    <row r="178" spans="1:14" x14ac:dyDescent="0.25">
      <c r="A178" s="10" t="s">
        <v>438</v>
      </c>
      <c r="B178" s="15">
        <v>0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</row>
    <row r="179" spans="1:14" x14ac:dyDescent="0.25">
      <c r="A179" s="10" t="s">
        <v>440</v>
      </c>
      <c r="B179" s="15">
        <v>0</v>
      </c>
      <c r="C179" s="15">
        <v>0</v>
      </c>
      <c r="D179" s="15">
        <v>0</v>
      </c>
      <c r="E179" s="15">
        <v>0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  <c r="N179" s="15">
        <v>0</v>
      </c>
    </row>
    <row r="180" spans="1:14" x14ac:dyDescent="0.25">
      <c r="A180" s="10" t="s">
        <v>442</v>
      </c>
      <c r="B180" s="15">
        <v>0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</row>
    <row r="181" spans="1:14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  <c r="N181" s="15">
        <v>0</v>
      </c>
    </row>
    <row r="182" spans="1:14" x14ac:dyDescent="0.25">
      <c r="A182" s="10" t="s">
        <v>446</v>
      </c>
      <c r="B182" s="15">
        <v>0</v>
      </c>
      <c r="C182" s="15">
        <v>0</v>
      </c>
      <c r="D182" s="15">
        <v>0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</row>
    <row r="183" spans="1:14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  <c r="N183" s="15">
        <v>0</v>
      </c>
    </row>
    <row r="184" spans="1:14" x14ac:dyDescent="0.25">
      <c r="A184" s="10" t="s">
        <v>450</v>
      </c>
      <c r="B184" s="15">
        <v>0</v>
      </c>
      <c r="C184" s="15">
        <v>0</v>
      </c>
      <c r="D184" s="15">
        <v>0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</row>
    <row r="185" spans="1:14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</row>
    <row r="186" spans="1:14" x14ac:dyDescent="0.25">
      <c r="A186" s="10" t="s">
        <v>454</v>
      </c>
      <c r="B186" s="15">
        <v>0</v>
      </c>
      <c r="C186" s="15">
        <v>0</v>
      </c>
      <c r="D186" s="15">
        <v>0</v>
      </c>
      <c r="E186" s="15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</row>
    <row r="187" spans="1:14" x14ac:dyDescent="0.25">
      <c r="A187" s="10" t="s">
        <v>456</v>
      </c>
      <c r="B187" s="15">
        <v>0</v>
      </c>
      <c r="C187" s="15">
        <v>0</v>
      </c>
      <c r="D187" s="15">
        <v>0</v>
      </c>
      <c r="E187" s="15">
        <v>0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  <c r="N187" s="15">
        <v>0</v>
      </c>
    </row>
    <row r="188" spans="1:14" x14ac:dyDescent="0.25">
      <c r="A188" s="10" t="s">
        <v>458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</row>
    <row r="189" spans="1:14" x14ac:dyDescent="0.25">
      <c r="A189" s="10" t="s">
        <v>460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  <c r="N189" s="15">
        <v>0</v>
      </c>
    </row>
    <row r="190" spans="1:14" x14ac:dyDescent="0.25">
      <c r="A190" s="10" t="s">
        <v>462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</row>
    <row r="191" spans="1:14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  <c r="N191" s="15">
        <v>0</v>
      </c>
    </row>
    <row r="192" spans="1:14" x14ac:dyDescent="0.25">
      <c r="A192" s="10" t="s">
        <v>466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</row>
    <row r="193" spans="1:14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>
        <v>0</v>
      </c>
    </row>
    <row r="194" spans="1:14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</row>
    <row r="195" spans="1:14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  <c r="N195" s="15">
        <v>0</v>
      </c>
    </row>
    <row r="196" spans="1:14" x14ac:dyDescent="0.25">
      <c r="A196" s="10" t="s">
        <v>474</v>
      </c>
      <c r="B196" s="15">
        <v>0</v>
      </c>
      <c r="C196" s="15">
        <v>0</v>
      </c>
      <c r="D196" s="15">
        <v>0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</row>
    <row r="197" spans="1:14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0</v>
      </c>
      <c r="N197" s="15">
        <v>0</v>
      </c>
    </row>
    <row r="198" spans="1:14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</row>
    <row r="199" spans="1:14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  <c r="N199" s="15">
        <v>0</v>
      </c>
    </row>
    <row r="200" spans="1:14" x14ac:dyDescent="0.25">
      <c r="A200" s="10" t="s">
        <v>482</v>
      </c>
      <c r="B200" s="15">
        <v>0</v>
      </c>
      <c r="C200" s="15">
        <v>0</v>
      </c>
      <c r="D200" s="15">
        <v>0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</row>
    <row r="201" spans="1:14" x14ac:dyDescent="0.25">
      <c r="A201" s="10" t="s">
        <v>484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  <c r="N201" s="15">
        <v>0</v>
      </c>
    </row>
    <row r="202" spans="1:14" x14ac:dyDescent="0.25">
      <c r="A202" s="10" t="s">
        <v>486</v>
      </c>
      <c r="B202" s="15">
        <v>0</v>
      </c>
      <c r="C202" s="15">
        <v>0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</row>
    <row r="203" spans="1:14" x14ac:dyDescent="0.25">
      <c r="A203" s="10" t="s">
        <v>488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0</v>
      </c>
    </row>
    <row r="204" spans="1:14" x14ac:dyDescent="0.25">
      <c r="A204" s="10" t="s">
        <v>490</v>
      </c>
      <c r="B204" s="15">
        <v>0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</row>
    <row r="205" spans="1:14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  <c r="N205" s="15">
        <v>0</v>
      </c>
    </row>
    <row r="206" spans="1:14" x14ac:dyDescent="0.25">
      <c r="A206" s="10" t="s">
        <v>494</v>
      </c>
      <c r="B206" s="15">
        <v>0</v>
      </c>
      <c r="C206" s="15">
        <v>0</v>
      </c>
      <c r="D206" s="15">
        <v>0</v>
      </c>
      <c r="E206" s="15">
        <v>0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</row>
    <row r="207" spans="1:14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  <c r="N207" s="15">
        <v>0</v>
      </c>
    </row>
    <row r="208" spans="1:14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</row>
    <row r="209" spans="1:14" x14ac:dyDescent="0.25">
      <c r="A209" s="10" t="s">
        <v>500</v>
      </c>
      <c r="B209" s="15">
        <v>0</v>
      </c>
      <c r="C209" s="15">
        <v>0</v>
      </c>
      <c r="D209" s="15">
        <v>0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  <c r="N209" s="15">
        <v>0</v>
      </c>
    </row>
    <row r="210" spans="1:14" x14ac:dyDescent="0.25">
      <c r="A210" s="10" t="s">
        <v>502</v>
      </c>
      <c r="B210" s="15">
        <v>0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</row>
    <row r="211" spans="1:14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0</v>
      </c>
      <c r="J211" s="15">
        <v>0</v>
      </c>
      <c r="K211" s="15">
        <v>0</v>
      </c>
      <c r="L211" s="15">
        <v>0</v>
      </c>
      <c r="M211" s="15">
        <v>0</v>
      </c>
      <c r="N211" s="15">
        <v>0</v>
      </c>
    </row>
    <row r="212" spans="1:14" x14ac:dyDescent="0.25">
      <c r="A212" s="10" t="s">
        <v>506</v>
      </c>
      <c r="B212" s="15">
        <v>0</v>
      </c>
      <c r="C212" s="15">
        <v>0</v>
      </c>
      <c r="D212" s="15">
        <v>0</v>
      </c>
      <c r="E212" s="15">
        <v>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</row>
    <row r="213" spans="1:14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  <c r="N213" s="15">
        <v>0</v>
      </c>
    </row>
    <row r="214" spans="1:14" x14ac:dyDescent="0.25">
      <c r="A214" s="10" t="s">
        <v>510</v>
      </c>
      <c r="B214" s="15">
        <v>0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</row>
    <row r="215" spans="1:14" x14ac:dyDescent="0.25">
      <c r="A215" s="10" t="s">
        <v>512</v>
      </c>
      <c r="B215" s="15">
        <v>0</v>
      </c>
      <c r="C215" s="15">
        <v>0</v>
      </c>
      <c r="D215" s="15">
        <v>0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6"/>
  <dimension ref="A1:N215"/>
  <sheetViews>
    <sheetView workbookViewId="0">
      <selection activeCell="B2" sqref="B2:N2"/>
    </sheetView>
  </sheetViews>
  <sheetFormatPr defaultRowHeight="15" x14ac:dyDescent="0.25"/>
  <cols>
    <col min="1" max="1" width="12.625" style="10" bestFit="1" customWidth="1"/>
    <col min="2" max="14" width="11.625" style="15" customWidth="1"/>
  </cols>
  <sheetData>
    <row r="1" spans="1:14" ht="47.85" customHeight="1" x14ac:dyDescent="0.25">
      <c r="A1" s="28" t="s">
        <v>31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61835,94</v>
      </c>
      <c r="C2" s="14" t="str">
        <f>CONCATENATE("FEVEREIRO",CHAR(10),"TOTAL: ",ROUND(SUM(C3:C1048576),2))</f>
        <v>FEVEREIRO
TOTAL: 68216,41</v>
      </c>
      <c r="D2" s="14" t="str">
        <f>CONCATENATE("MARÇO",CHAR(10),"TOTAL: ",ROUND(SUM(D3:D1048576),2))</f>
        <v>MARÇO
TOTAL: 73038,29</v>
      </c>
      <c r="E2" s="14" t="str">
        <f>CONCATENATE("ABRIL",CHAR(10),"TOTAL: ",ROUND(SUM(E3:E1048576),2))</f>
        <v>ABRIL
TOTAL: 71462,95</v>
      </c>
      <c r="F2" s="14" t="str">
        <f>CONCATENATE("MAIO",CHAR(10),"TOTAL: ",ROUND(SUM(F3:F1048576),2))</f>
        <v>MAIO
TOTAL: 74587,87</v>
      </c>
      <c r="G2" s="14" t="str">
        <f>CONCATENATE("JUNHO",CHAR(10),"TOTAL: ",ROUND(SUM(G3:G1048576),2))</f>
        <v>JUNHO
TOTAL: 84350,95</v>
      </c>
      <c r="H2" s="14" t="str">
        <f>CONCATENATE("JULHO",CHAR(10),"TOTAL: ",ROUND(SUM(H3:H1048576),2))</f>
        <v>JULHO
TOTAL: 81862,94</v>
      </c>
      <c r="I2" s="14" t="str">
        <f>CONCATENATE("AGOSTO",CHAR(10),"TOTAL: ",ROUND(SUM(I3:I1048576),2))</f>
        <v>AGOSTO
TOTAL: 83946,4</v>
      </c>
      <c r="J2" s="14" t="str">
        <f>CONCATENATE("SETEMBRO",CHAR(10),"TOTAL: ",ROUND(SUM(J3:J1048576),2))</f>
        <v>SETEMBRO
TOTAL: 88583,76</v>
      </c>
      <c r="K2" s="14" t="str">
        <f>CONCATENATE("OUTUBRO",CHAR(10),"TOTAL: ",ROUND(SUM(K3:K1048576),2))</f>
        <v>OUTUBRO
TOTAL: 87686,5</v>
      </c>
      <c r="L2" s="14" t="str">
        <f>CONCATENATE("NOVEMBRO",CHAR(10),"TOTAL: ",ROUND(SUM(L3:L1048576),2))</f>
        <v>NOVEMBRO
TOTAL: 88248,66</v>
      </c>
      <c r="M2" s="14" t="str">
        <f>CONCATENATE("DEZEMBRO",CHAR(10),"TOTAL: ",ROUND(SUM(M3:M1048576),2))</f>
        <v>DEZEMBRO
TOTAL: 96441,44</v>
      </c>
      <c r="N2" s="14" t="str">
        <f>CONCATENATE("DEC. TERCEIRO",CHAR(10),"TOTAL: ",ROUND(SUM(N3:N1048576),2))</f>
        <v>DEC. TERCEIRO
TOTAL: 83376,08</v>
      </c>
    </row>
    <row r="3" spans="1:14" x14ac:dyDescent="0.25">
      <c r="A3" s="10" t="s">
        <v>88</v>
      </c>
      <c r="B3" s="15">
        <v>550</v>
      </c>
      <c r="C3" s="15">
        <v>550</v>
      </c>
      <c r="D3" s="15">
        <v>550</v>
      </c>
      <c r="E3" s="15">
        <v>550</v>
      </c>
      <c r="F3" s="15">
        <v>550</v>
      </c>
      <c r="G3" s="15">
        <v>550</v>
      </c>
      <c r="H3" s="15">
        <v>550</v>
      </c>
      <c r="I3" s="15">
        <v>550</v>
      </c>
      <c r="J3" s="15">
        <v>570.88</v>
      </c>
      <c r="K3" s="15">
        <v>570.88</v>
      </c>
      <c r="L3" s="15">
        <v>570.88</v>
      </c>
      <c r="M3" s="15">
        <v>1091.1500000000001</v>
      </c>
      <c r="N3" s="15">
        <v>570.88</v>
      </c>
    </row>
    <row r="4" spans="1:14" x14ac:dyDescent="0.25">
      <c r="A4" s="10" t="s">
        <v>90</v>
      </c>
      <c r="B4" s="15">
        <v>570.88</v>
      </c>
      <c r="C4" s="15">
        <v>570.88</v>
      </c>
      <c r="D4" s="15">
        <v>570.88</v>
      </c>
      <c r="E4" s="15">
        <v>570.88</v>
      </c>
      <c r="F4" s="15">
        <v>570.88</v>
      </c>
      <c r="G4" s="15">
        <v>570.88</v>
      </c>
      <c r="H4" s="15">
        <v>570.88</v>
      </c>
      <c r="I4" s="15">
        <v>570.88</v>
      </c>
      <c r="J4" s="15">
        <v>570.88</v>
      </c>
      <c r="K4" s="15">
        <v>570.88</v>
      </c>
      <c r="L4" s="15">
        <v>570.88</v>
      </c>
      <c r="M4" s="15">
        <v>570.88</v>
      </c>
      <c r="N4" s="15">
        <v>570.88</v>
      </c>
    </row>
    <row r="5" spans="1:14" x14ac:dyDescent="0.25">
      <c r="A5" s="10" t="s">
        <v>92</v>
      </c>
      <c r="B5" s="15">
        <v>0</v>
      </c>
      <c r="C5" s="15">
        <v>100</v>
      </c>
      <c r="D5" s="15">
        <v>225</v>
      </c>
      <c r="E5" s="15">
        <v>225</v>
      </c>
      <c r="F5" s="15">
        <v>225</v>
      </c>
      <c r="G5" s="15">
        <v>73.33</v>
      </c>
      <c r="H5" s="15">
        <v>0</v>
      </c>
      <c r="I5" s="15">
        <v>0</v>
      </c>
      <c r="J5" s="15">
        <v>104.28</v>
      </c>
      <c r="K5" s="15">
        <v>286.77</v>
      </c>
      <c r="L5" s="15">
        <v>286.77</v>
      </c>
      <c r="M5" s="15">
        <v>286.77</v>
      </c>
      <c r="N5" s="15">
        <v>156.41999999999999</v>
      </c>
    </row>
    <row r="6" spans="1:14" x14ac:dyDescent="0.25">
      <c r="A6" s="10" t="s">
        <v>94</v>
      </c>
      <c r="B6" s="15">
        <v>385</v>
      </c>
      <c r="C6" s="15">
        <v>385</v>
      </c>
      <c r="D6" s="15">
        <v>385</v>
      </c>
      <c r="E6" s="15">
        <v>385</v>
      </c>
      <c r="F6" s="15">
        <v>385</v>
      </c>
      <c r="G6" s="15">
        <v>385</v>
      </c>
      <c r="H6" s="15">
        <v>385</v>
      </c>
      <c r="I6" s="15">
        <v>385</v>
      </c>
      <c r="J6" s="15">
        <v>439.9</v>
      </c>
      <c r="K6" s="15">
        <v>412.45</v>
      </c>
      <c r="L6" s="15">
        <v>412.45</v>
      </c>
      <c r="M6" s="15">
        <v>412.45</v>
      </c>
      <c r="N6" s="15">
        <v>412.45</v>
      </c>
    </row>
    <row r="7" spans="1:14" x14ac:dyDescent="0.25">
      <c r="A7" s="10" t="s">
        <v>96</v>
      </c>
      <c r="B7" s="15">
        <v>523.45000000000005</v>
      </c>
      <c r="C7" s="15">
        <v>528.53</v>
      </c>
      <c r="D7" s="15">
        <v>528.53</v>
      </c>
      <c r="E7" s="15">
        <v>528.53</v>
      </c>
      <c r="F7" s="15">
        <v>528.53</v>
      </c>
      <c r="G7" s="15">
        <v>528.53</v>
      </c>
      <c r="H7" s="15">
        <v>528.53</v>
      </c>
      <c r="I7" s="15">
        <v>570.88</v>
      </c>
      <c r="J7" s="15">
        <v>570.88</v>
      </c>
      <c r="K7" s="15">
        <v>570.88</v>
      </c>
      <c r="L7" s="15">
        <v>570.88</v>
      </c>
      <c r="M7" s="15">
        <v>718.64</v>
      </c>
      <c r="N7" s="15">
        <v>570.88</v>
      </c>
    </row>
    <row r="8" spans="1:14" x14ac:dyDescent="0.25">
      <c r="A8" s="10" t="s">
        <v>98</v>
      </c>
      <c r="B8" s="15">
        <v>414.83</v>
      </c>
      <c r="C8" s="15">
        <v>414.83</v>
      </c>
      <c r="D8" s="15">
        <v>414.83</v>
      </c>
      <c r="E8" s="15">
        <v>414.83</v>
      </c>
      <c r="F8" s="15">
        <v>414.83</v>
      </c>
      <c r="G8" s="15">
        <v>414.83</v>
      </c>
      <c r="H8" s="15">
        <v>169.7</v>
      </c>
      <c r="I8" s="15">
        <v>0</v>
      </c>
      <c r="J8" s="15">
        <v>74.13</v>
      </c>
      <c r="K8" s="15">
        <v>0</v>
      </c>
      <c r="L8" s="15">
        <v>0</v>
      </c>
      <c r="M8" s="15">
        <v>0</v>
      </c>
      <c r="N8" s="15">
        <v>215.28</v>
      </c>
    </row>
    <row r="9" spans="1:14" x14ac:dyDescent="0.25">
      <c r="A9" s="10" t="s">
        <v>100</v>
      </c>
      <c r="B9" s="15">
        <v>570.88</v>
      </c>
      <c r="C9" s="15">
        <v>570.88</v>
      </c>
      <c r="D9" s="15">
        <v>570.88</v>
      </c>
      <c r="E9" s="15">
        <v>570.88</v>
      </c>
      <c r="F9" s="15">
        <v>570.88</v>
      </c>
      <c r="G9" s="15">
        <v>570.88</v>
      </c>
      <c r="H9" s="15">
        <v>570.88</v>
      </c>
      <c r="I9" s="15">
        <v>570.88</v>
      </c>
      <c r="J9" s="15">
        <v>570.88</v>
      </c>
      <c r="K9" s="15">
        <v>570.88</v>
      </c>
      <c r="L9" s="15">
        <v>849.16</v>
      </c>
      <c r="M9" s="15">
        <v>292.60000000000002</v>
      </c>
      <c r="N9" s="15">
        <v>570.88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216</v>
      </c>
      <c r="F10" s="15">
        <v>330</v>
      </c>
      <c r="G10" s="15">
        <v>330</v>
      </c>
      <c r="H10" s="15">
        <v>330</v>
      </c>
      <c r="I10" s="15">
        <v>330</v>
      </c>
      <c r="J10" s="15">
        <v>348.81</v>
      </c>
      <c r="K10" s="15">
        <v>339.41</v>
      </c>
      <c r="L10" s="15">
        <v>339.41</v>
      </c>
      <c r="M10" s="15">
        <v>339.41</v>
      </c>
      <c r="N10" s="15">
        <v>208.27</v>
      </c>
    </row>
    <row r="11" spans="1:14" x14ac:dyDescent="0.25">
      <c r="A11" s="10" t="s">
        <v>104</v>
      </c>
      <c r="B11" s="15">
        <v>570.88</v>
      </c>
      <c r="C11" s="15">
        <v>570.88</v>
      </c>
      <c r="D11" s="15">
        <v>570.88</v>
      </c>
      <c r="E11" s="15">
        <v>570.88</v>
      </c>
      <c r="F11" s="15">
        <v>570.88</v>
      </c>
      <c r="G11" s="15">
        <v>1141.76</v>
      </c>
      <c r="H11" s="15">
        <v>0</v>
      </c>
      <c r="I11" s="15">
        <v>570.88</v>
      </c>
      <c r="J11" s="15">
        <v>570.88</v>
      </c>
      <c r="K11" s="15">
        <v>570.88</v>
      </c>
      <c r="L11" s="15">
        <v>570.88</v>
      </c>
      <c r="M11" s="15">
        <v>570.88</v>
      </c>
      <c r="N11" s="15">
        <v>570.88</v>
      </c>
    </row>
    <row r="12" spans="1:14" x14ac:dyDescent="0.25">
      <c r="A12" s="10" t="s">
        <v>106</v>
      </c>
      <c r="B12" s="15">
        <v>570.88</v>
      </c>
      <c r="C12" s="15">
        <v>570.88</v>
      </c>
      <c r="D12" s="15">
        <v>1141.76</v>
      </c>
      <c r="E12" s="15">
        <v>0</v>
      </c>
      <c r="F12" s="15">
        <v>570.88</v>
      </c>
      <c r="G12" s="15">
        <v>570.88</v>
      </c>
      <c r="H12" s="15">
        <v>570.88</v>
      </c>
      <c r="I12" s="15">
        <v>570.88</v>
      </c>
      <c r="J12" s="15">
        <v>570.88</v>
      </c>
      <c r="K12" s="15">
        <v>570.88</v>
      </c>
      <c r="L12" s="15">
        <v>570.88</v>
      </c>
      <c r="M12" s="15">
        <v>570.88</v>
      </c>
      <c r="N12" s="15">
        <v>570.88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210</v>
      </c>
      <c r="F13" s="15">
        <v>385</v>
      </c>
      <c r="G13" s="15">
        <v>385</v>
      </c>
      <c r="H13" s="15">
        <v>385</v>
      </c>
      <c r="I13" s="15">
        <v>385</v>
      </c>
      <c r="J13" s="15">
        <v>406.95</v>
      </c>
      <c r="K13" s="15">
        <v>395.97</v>
      </c>
      <c r="L13" s="15">
        <v>395.97</v>
      </c>
      <c r="M13" s="15">
        <v>395.97</v>
      </c>
      <c r="N13" s="15">
        <v>296.98</v>
      </c>
    </row>
    <row r="14" spans="1:14" x14ac:dyDescent="0.25">
      <c r="A14" s="10" t="s">
        <v>110</v>
      </c>
      <c r="B14" s="15">
        <v>570.88</v>
      </c>
      <c r="C14" s="15">
        <v>570.88</v>
      </c>
      <c r="D14" s="15">
        <v>570.88</v>
      </c>
      <c r="E14" s="15">
        <v>570.88</v>
      </c>
      <c r="F14" s="15">
        <v>570.88</v>
      </c>
      <c r="G14" s="15">
        <v>570.88</v>
      </c>
      <c r="H14" s="15">
        <v>570.88</v>
      </c>
      <c r="I14" s="15">
        <v>570.88</v>
      </c>
      <c r="J14" s="15">
        <v>570.88</v>
      </c>
      <c r="K14" s="15">
        <v>570.88</v>
      </c>
      <c r="L14" s="15">
        <v>570.88</v>
      </c>
      <c r="M14" s="15">
        <v>570.88</v>
      </c>
      <c r="N14" s="15">
        <v>570.88</v>
      </c>
    </row>
    <row r="15" spans="1:14" x14ac:dyDescent="0.25">
      <c r="A15" s="10" t="s">
        <v>112</v>
      </c>
      <c r="B15" s="15">
        <v>570.88</v>
      </c>
      <c r="C15" s="15">
        <v>570.88</v>
      </c>
      <c r="D15" s="15">
        <v>570.88</v>
      </c>
      <c r="E15" s="15">
        <v>570.88</v>
      </c>
      <c r="F15" s="15">
        <v>570.88</v>
      </c>
      <c r="G15" s="15">
        <v>570.88</v>
      </c>
      <c r="H15" s="15">
        <v>570.88</v>
      </c>
      <c r="I15" s="15">
        <v>570.88</v>
      </c>
      <c r="J15" s="15">
        <v>570.88</v>
      </c>
      <c r="K15" s="15">
        <v>570.88</v>
      </c>
      <c r="L15" s="15">
        <v>570.88</v>
      </c>
      <c r="M15" s="15">
        <v>570.88</v>
      </c>
      <c r="N15" s="15">
        <v>570.88</v>
      </c>
    </row>
    <row r="16" spans="1:14" x14ac:dyDescent="0.25">
      <c r="A16" s="10" t="s">
        <v>114</v>
      </c>
      <c r="B16" s="15">
        <v>570.88</v>
      </c>
      <c r="C16" s="15">
        <v>570.88</v>
      </c>
      <c r="D16" s="15">
        <v>570.88</v>
      </c>
      <c r="E16" s="15">
        <v>570.88</v>
      </c>
      <c r="F16" s="15">
        <v>570.88</v>
      </c>
      <c r="G16" s="15">
        <v>570.88</v>
      </c>
      <c r="H16" s="15">
        <v>570.88</v>
      </c>
      <c r="I16" s="15">
        <v>570.88</v>
      </c>
      <c r="J16" s="15">
        <v>570.88</v>
      </c>
      <c r="K16" s="15">
        <v>570.88</v>
      </c>
      <c r="L16" s="15">
        <v>570.88</v>
      </c>
      <c r="M16" s="15">
        <v>570.88</v>
      </c>
      <c r="N16" s="15">
        <v>570.88</v>
      </c>
    </row>
    <row r="17" spans="1:14" x14ac:dyDescent="0.25">
      <c r="A17" s="10" t="s">
        <v>116</v>
      </c>
      <c r="B17" s="15">
        <v>0</v>
      </c>
      <c r="C17" s="15">
        <v>100</v>
      </c>
      <c r="D17" s="15">
        <v>225</v>
      </c>
      <c r="E17" s="15">
        <v>225</v>
      </c>
      <c r="F17" s="15">
        <v>86.67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50</v>
      </c>
    </row>
    <row r="18" spans="1:14" x14ac:dyDescent="0.25">
      <c r="A18" s="10" t="s">
        <v>118</v>
      </c>
      <c r="B18" s="15">
        <v>570.88</v>
      </c>
      <c r="C18" s="15">
        <v>570.88</v>
      </c>
      <c r="D18" s="15">
        <v>570.88</v>
      </c>
      <c r="E18" s="15">
        <v>570.88</v>
      </c>
      <c r="F18" s="15">
        <v>570.88</v>
      </c>
      <c r="G18" s="15">
        <v>570.88</v>
      </c>
      <c r="H18" s="15">
        <v>570.88</v>
      </c>
      <c r="I18" s="15">
        <v>570.88</v>
      </c>
      <c r="J18" s="15">
        <v>570.88</v>
      </c>
      <c r="K18" s="15">
        <v>570.88</v>
      </c>
      <c r="L18" s="15">
        <v>570.88</v>
      </c>
      <c r="M18" s="15">
        <v>570.88</v>
      </c>
      <c r="N18" s="15">
        <v>570.88</v>
      </c>
    </row>
    <row r="19" spans="1:14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150</v>
      </c>
      <c r="F19" s="15">
        <v>225</v>
      </c>
      <c r="G19" s="15">
        <v>225</v>
      </c>
      <c r="H19" s="15">
        <v>225</v>
      </c>
      <c r="I19" s="15">
        <v>225</v>
      </c>
      <c r="J19" s="15">
        <v>290.68</v>
      </c>
      <c r="K19" s="15">
        <v>231.41</v>
      </c>
      <c r="L19" s="15">
        <v>231.41</v>
      </c>
      <c r="M19" s="15">
        <v>231.41</v>
      </c>
      <c r="N19" s="15">
        <v>173.56</v>
      </c>
    </row>
    <row r="20" spans="1:14" x14ac:dyDescent="0.25">
      <c r="A20" s="10" t="s">
        <v>122</v>
      </c>
      <c r="B20" s="15">
        <v>570.88</v>
      </c>
      <c r="C20" s="15">
        <v>570.88</v>
      </c>
      <c r="D20" s="15">
        <v>570.88</v>
      </c>
      <c r="E20" s="15">
        <v>570.88</v>
      </c>
      <c r="F20" s="15">
        <v>570.88</v>
      </c>
      <c r="G20" s="15">
        <v>570.88</v>
      </c>
      <c r="H20" s="15">
        <v>570.88</v>
      </c>
      <c r="I20" s="15">
        <v>570.88</v>
      </c>
      <c r="J20" s="15">
        <v>570.88</v>
      </c>
      <c r="K20" s="15">
        <v>570.88</v>
      </c>
      <c r="L20" s="15">
        <v>644.01</v>
      </c>
      <c r="M20" s="15">
        <v>497.75</v>
      </c>
      <c r="N20" s="15">
        <v>570.88</v>
      </c>
    </row>
    <row r="21" spans="1:14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207</v>
      </c>
      <c r="M21" s="15">
        <v>207</v>
      </c>
      <c r="N21" s="15">
        <v>30.67</v>
      </c>
    </row>
    <row r="22" spans="1:14" x14ac:dyDescent="0.25">
      <c r="A22" s="10" t="s">
        <v>126</v>
      </c>
      <c r="B22" s="15">
        <v>63.2</v>
      </c>
      <c r="C22" s="15">
        <v>410.25</v>
      </c>
      <c r="D22" s="15">
        <v>9.58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49.73</v>
      </c>
    </row>
    <row r="23" spans="1:14" x14ac:dyDescent="0.25">
      <c r="A23" s="10" t="s">
        <v>128</v>
      </c>
      <c r="B23" s="15">
        <v>188.84</v>
      </c>
      <c r="C23" s="15">
        <v>188.84</v>
      </c>
      <c r="D23" s="15">
        <v>312.63</v>
      </c>
      <c r="E23" s="15">
        <v>183.48</v>
      </c>
      <c r="F23" s="15">
        <v>188.84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69.94</v>
      </c>
    </row>
    <row r="24" spans="1:14" x14ac:dyDescent="0.25">
      <c r="A24" s="10" t="s">
        <v>130</v>
      </c>
      <c r="B24" s="15">
        <v>570.88</v>
      </c>
      <c r="C24" s="15">
        <v>570.88</v>
      </c>
      <c r="D24" s="15">
        <v>570.88</v>
      </c>
      <c r="E24" s="15">
        <v>570.88</v>
      </c>
      <c r="F24" s="15">
        <v>570.88</v>
      </c>
      <c r="G24" s="15">
        <v>570.88</v>
      </c>
      <c r="H24" s="15">
        <v>570.88</v>
      </c>
      <c r="I24" s="15">
        <v>570.88</v>
      </c>
      <c r="J24" s="15">
        <v>570.88</v>
      </c>
      <c r="K24" s="15">
        <v>570.88</v>
      </c>
      <c r="L24" s="15">
        <v>570.88</v>
      </c>
      <c r="M24" s="15">
        <v>570.88</v>
      </c>
      <c r="N24" s="15">
        <v>570.88</v>
      </c>
    </row>
    <row r="25" spans="1:14" x14ac:dyDescent="0.25">
      <c r="A25" s="10" t="s">
        <v>132</v>
      </c>
      <c r="B25" s="15">
        <v>148.97999999999999</v>
      </c>
      <c r="C25" s="15">
        <v>410.25</v>
      </c>
      <c r="D25" s="15">
        <v>410.25</v>
      </c>
      <c r="E25" s="15">
        <v>410.25</v>
      </c>
      <c r="F25" s="15">
        <v>410.25</v>
      </c>
      <c r="G25" s="15">
        <v>410.25</v>
      </c>
      <c r="H25" s="15">
        <v>410.25</v>
      </c>
      <c r="I25" s="15">
        <v>570.88</v>
      </c>
      <c r="J25" s="15">
        <v>450.58</v>
      </c>
      <c r="K25" s="15">
        <v>450.58</v>
      </c>
      <c r="L25" s="15">
        <v>450.58</v>
      </c>
      <c r="M25" s="15">
        <v>856.1</v>
      </c>
      <c r="N25" s="15">
        <v>450.58</v>
      </c>
    </row>
    <row r="26" spans="1:14" x14ac:dyDescent="0.25">
      <c r="A26" s="10" t="s">
        <v>134</v>
      </c>
      <c r="B26" s="15">
        <v>385</v>
      </c>
      <c r="C26" s="15">
        <v>385</v>
      </c>
      <c r="D26" s="15">
        <v>385</v>
      </c>
      <c r="E26" s="15">
        <v>385</v>
      </c>
      <c r="F26" s="15">
        <v>385</v>
      </c>
      <c r="G26" s="15">
        <v>385</v>
      </c>
      <c r="H26" s="15">
        <v>385</v>
      </c>
      <c r="I26" s="15">
        <v>385</v>
      </c>
      <c r="J26" s="15">
        <v>428.97</v>
      </c>
      <c r="K26" s="15">
        <v>406.98</v>
      </c>
      <c r="L26" s="15">
        <v>406.98</v>
      </c>
      <c r="M26" s="15">
        <v>768.74</v>
      </c>
      <c r="N26" s="15">
        <v>406.98</v>
      </c>
    </row>
    <row r="27" spans="1:14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330</v>
      </c>
      <c r="M27" s="15">
        <v>330</v>
      </c>
      <c r="N27" s="15">
        <v>40</v>
      </c>
    </row>
    <row r="28" spans="1:14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570.88</v>
      </c>
      <c r="H28" s="15">
        <v>570.88</v>
      </c>
      <c r="I28" s="15">
        <v>570.88</v>
      </c>
      <c r="J28" s="15">
        <v>570.88</v>
      </c>
      <c r="K28" s="15">
        <v>570.88</v>
      </c>
      <c r="L28" s="15">
        <v>570.88</v>
      </c>
      <c r="M28" s="15">
        <v>570.88</v>
      </c>
      <c r="N28" s="15">
        <v>384.91</v>
      </c>
    </row>
    <row r="29" spans="1:14" x14ac:dyDescent="0.25">
      <c r="A29" s="10" t="s">
        <v>140</v>
      </c>
      <c r="B29" s="15">
        <v>0</v>
      </c>
      <c r="C29" s="15">
        <v>202.5</v>
      </c>
      <c r="D29" s="15">
        <v>495</v>
      </c>
      <c r="E29" s="15">
        <v>495</v>
      </c>
      <c r="F29" s="15">
        <v>495</v>
      </c>
      <c r="G29" s="15">
        <v>495</v>
      </c>
      <c r="H29" s="15">
        <v>495</v>
      </c>
      <c r="I29" s="15">
        <v>495</v>
      </c>
      <c r="J29" s="15">
        <v>537.37</v>
      </c>
      <c r="K29" s="15">
        <v>516.19000000000005</v>
      </c>
      <c r="L29" s="15">
        <v>516.19000000000005</v>
      </c>
      <c r="M29" s="15">
        <v>516.19000000000005</v>
      </c>
      <c r="N29" s="15">
        <v>473.17</v>
      </c>
    </row>
    <row r="30" spans="1:14" x14ac:dyDescent="0.25">
      <c r="A30" s="10" t="s">
        <v>142</v>
      </c>
      <c r="B30" s="15">
        <v>570.88</v>
      </c>
      <c r="C30" s="15">
        <v>570.88</v>
      </c>
      <c r="D30" s="15">
        <v>768.88</v>
      </c>
      <c r="E30" s="15">
        <v>372.88</v>
      </c>
      <c r="F30" s="15">
        <v>570.88</v>
      </c>
      <c r="G30" s="15">
        <v>570.88</v>
      </c>
      <c r="H30" s="15">
        <v>570.88</v>
      </c>
      <c r="I30" s="15">
        <v>570.88</v>
      </c>
      <c r="J30" s="15">
        <v>570.88</v>
      </c>
      <c r="K30" s="15">
        <v>570.88</v>
      </c>
      <c r="L30" s="15">
        <v>570.88</v>
      </c>
      <c r="M30" s="15">
        <v>570.88</v>
      </c>
      <c r="N30" s="15">
        <v>570.88</v>
      </c>
    </row>
    <row r="31" spans="1:14" x14ac:dyDescent="0.25">
      <c r="A31" s="10" t="s">
        <v>144</v>
      </c>
      <c r="B31" s="15">
        <v>57.87</v>
      </c>
      <c r="C31" s="15">
        <v>570.88</v>
      </c>
      <c r="D31" s="15">
        <v>570.88</v>
      </c>
      <c r="E31" s="15">
        <v>570.88</v>
      </c>
      <c r="F31" s="15">
        <v>570.88</v>
      </c>
      <c r="G31" s="15">
        <v>570.88</v>
      </c>
      <c r="H31" s="15">
        <v>570.88</v>
      </c>
      <c r="I31" s="15">
        <v>570.88</v>
      </c>
      <c r="J31" s="15">
        <v>570.88</v>
      </c>
      <c r="K31" s="15">
        <v>570.88</v>
      </c>
      <c r="L31" s="15">
        <v>570.88</v>
      </c>
      <c r="M31" s="15">
        <v>570.88</v>
      </c>
      <c r="N31" s="15">
        <v>570.88</v>
      </c>
    </row>
    <row r="32" spans="1:14" x14ac:dyDescent="0.25">
      <c r="A32" s="10" t="s">
        <v>146</v>
      </c>
      <c r="B32" s="15">
        <v>334.94</v>
      </c>
      <c r="C32" s="15">
        <v>338.2</v>
      </c>
      <c r="D32" s="15">
        <v>338.2</v>
      </c>
      <c r="E32" s="15">
        <v>338.2</v>
      </c>
      <c r="F32" s="15">
        <v>338.2</v>
      </c>
      <c r="G32" s="15">
        <v>388.96</v>
      </c>
      <c r="H32" s="15">
        <v>388.96</v>
      </c>
      <c r="I32" s="15">
        <v>536.91</v>
      </c>
      <c r="J32" s="15">
        <v>427.19</v>
      </c>
      <c r="K32" s="15">
        <v>427.19</v>
      </c>
      <c r="L32" s="15">
        <v>427.19</v>
      </c>
      <c r="M32" s="15">
        <v>968.31</v>
      </c>
      <c r="N32" s="15">
        <v>427.19</v>
      </c>
    </row>
    <row r="33" spans="1:14" x14ac:dyDescent="0.25">
      <c r="A33" s="10" t="s">
        <v>148</v>
      </c>
      <c r="B33" s="15">
        <v>393.4</v>
      </c>
      <c r="C33" s="15">
        <v>393.4</v>
      </c>
      <c r="D33" s="15">
        <v>393.4</v>
      </c>
      <c r="E33" s="15">
        <v>393.4</v>
      </c>
      <c r="F33" s="15">
        <v>393.4</v>
      </c>
      <c r="G33" s="15">
        <v>497.51</v>
      </c>
      <c r="H33" s="15">
        <v>376.71</v>
      </c>
      <c r="I33" s="15">
        <v>570.88</v>
      </c>
      <c r="J33" s="15">
        <v>432.07</v>
      </c>
      <c r="K33" s="15">
        <v>436.31</v>
      </c>
      <c r="L33" s="15">
        <v>436.31</v>
      </c>
      <c r="M33" s="15">
        <v>436.31</v>
      </c>
      <c r="N33" s="15">
        <v>436.31</v>
      </c>
    </row>
    <row r="34" spans="1:14" x14ac:dyDescent="0.25">
      <c r="A34" s="10" t="s">
        <v>150</v>
      </c>
      <c r="B34" s="15">
        <v>570.88</v>
      </c>
      <c r="C34" s="15">
        <v>570.88</v>
      </c>
      <c r="D34" s="15">
        <v>570.88</v>
      </c>
      <c r="E34" s="15">
        <v>570.88</v>
      </c>
      <c r="F34" s="15">
        <v>570.88</v>
      </c>
      <c r="G34" s="15">
        <v>570.88</v>
      </c>
      <c r="H34" s="15">
        <v>570.88</v>
      </c>
      <c r="I34" s="15">
        <v>570.88</v>
      </c>
      <c r="J34" s="15">
        <v>570.88</v>
      </c>
      <c r="K34" s="15">
        <v>570.88</v>
      </c>
      <c r="L34" s="15">
        <v>570.88</v>
      </c>
      <c r="M34" s="15">
        <v>570.88</v>
      </c>
      <c r="N34" s="15">
        <v>570.88</v>
      </c>
    </row>
    <row r="35" spans="1:14" x14ac:dyDescent="0.25">
      <c r="A35" s="10" t="s">
        <v>152</v>
      </c>
      <c r="B35" s="15">
        <v>515.22</v>
      </c>
      <c r="C35" s="15">
        <v>515.22</v>
      </c>
      <c r="D35" s="15">
        <v>515.22</v>
      </c>
      <c r="E35" s="15">
        <v>515.22</v>
      </c>
      <c r="F35" s="15">
        <v>520.22</v>
      </c>
      <c r="G35" s="15">
        <v>520.22</v>
      </c>
      <c r="H35" s="15">
        <v>520.22</v>
      </c>
      <c r="I35" s="15">
        <v>570.88</v>
      </c>
      <c r="J35" s="15">
        <v>570.88</v>
      </c>
      <c r="K35" s="15">
        <v>570.88</v>
      </c>
      <c r="L35" s="15">
        <v>570.88</v>
      </c>
      <c r="M35" s="15">
        <v>570.88</v>
      </c>
      <c r="N35" s="15">
        <v>570.88</v>
      </c>
    </row>
    <row r="36" spans="1:14" x14ac:dyDescent="0.25">
      <c r="A36" s="10" t="s">
        <v>154</v>
      </c>
      <c r="B36" s="15">
        <v>570.88</v>
      </c>
      <c r="C36" s="15">
        <v>570.88</v>
      </c>
      <c r="D36" s="15">
        <v>570.88</v>
      </c>
      <c r="E36" s="15">
        <v>570.88</v>
      </c>
      <c r="F36" s="15">
        <v>570.88</v>
      </c>
      <c r="G36" s="15">
        <v>570.88</v>
      </c>
      <c r="H36" s="15">
        <v>1141.76</v>
      </c>
      <c r="I36" s="15">
        <v>0</v>
      </c>
      <c r="J36" s="15">
        <v>570.88</v>
      </c>
      <c r="K36" s="15">
        <v>570.88</v>
      </c>
      <c r="L36" s="15">
        <v>570.88</v>
      </c>
      <c r="M36" s="15">
        <v>570.88</v>
      </c>
      <c r="N36" s="15">
        <v>570.88</v>
      </c>
    </row>
    <row r="37" spans="1:14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207</v>
      </c>
      <c r="M37" s="15">
        <v>207</v>
      </c>
      <c r="N37" s="15">
        <v>30.67</v>
      </c>
    </row>
    <row r="38" spans="1:14" x14ac:dyDescent="0.25">
      <c r="A38" s="10" t="s">
        <v>158</v>
      </c>
      <c r="B38" s="15">
        <v>334.94</v>
      </c>
      <c r="C38" s="15">
        <v>334.94</v>
      </c>
      <c r="D38" s="15">
        <v>338.2</v>
      </c>
      <c r="E38" s="15">
        <v>338.2</v>
      </c>
      <c r="F38" s="15">
        <v>338.2</v>
      </c>
      <c r="G38" s="15">
        <v>388.96</v>
      </c>
      <c r="H38" s="15">
        <v>388.96</v>
      </c>
      <c r="I38" s="15">
        <v>536.91</v>
      </c>
      <c r="J38" s="15">
        <v>688.26</v>
      </c>
      <c r="K38" s="15">
        <v>308.52999999999997</v>
      </c>
      <c r="L38" s="15">
        <v>427.19</v>
      </c>
      <c r="M38" s="15">
        <v>427.19</v>
      </c>
      <c r="N38" s="15">
        <v>427.19</v>
      </c>
    </row>
    <row r="39" spans="1:14" x14ac:dyDescent="0.25">
      <c r="A39" s="10" t="s">
        <v>160</v>
      </c>
      <c r="B39" s="15">
        <v>570.88</v>
      </c>
      <c r="C39" s="15">
        <v>570.88</v>
      </c>
      <c r="D39" s="15">
        <v>1141.76</v>
      </c>
      <c r="E39" s="15">
        <v>0</v>
      </c>
      <c r="F39" s="15">
        <v>570.88</v>
      </c>
      <c r="G39" s="15">
        <v>570.88</v>
      </c>
      <c r="H39" s="15">
        <v>570.88</v>
      </c>
      <c r="I39" s="15">
        <v>305.97000000000003</v>
      </c>
      <c r="J39" s="15">
        <v>570.88</v>
      </c>
      <c r="K39" s="15">
        <v>570.88</v>
      </c>
      <c r="L39" s="15">
        <v>570.88</v>
      </c>
      <c r="M39" s="15">
        <v>570.88</v>
      </c>
      <c r="N39" s="15">
        <v>570.88</v>
      </c>
    </row>
    <row r="40" spans="1:14" x14ac:dyDescent="0.25">
      <c r="A40" s="10" t="s">
        <v>162</v>
      </c>
      <c r="B40" s="15">
        <v>330</v>
      </c>
      <c r="C40" s="15">
        <v>330</v>
      </c>
      <c r="D40" s="15">
        <v>330</v>
      </c>
      <c r="E40" s="15">
        <v>8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60</v>
      </c>
    </row>
    <row r="41" spans="1:14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570.88</v>
      </c>
      <c r="L41" s="15">
        <v>570.88</v>
      </c>
      <c r="M41" s="15">
        <v>570.88</v>
      </c>
      <c r="N41" s="15">
        <v>570.88</v>
      </c>
    </row>
    <row r="42" spans="1:14" x14ac:dyDescent="0.25">
      <c r="A42" s="10" t="s">
        <v>166</v>
      </c>
      <c r="B42" s="15">
        <v>423.12</v>
      </c>
      <c r="C42" s="15">
        <v>427.23</v>
      </c>
      <c r="D42" s="15">
        <v>427.23</v>
      </c>
      <c r="E42" s="15">
        <v>427.23</v>
      </c>
      <c r="F42" s="15">
        <v>427.23</v>
      </c>
      <c r="G42" s="15">
        <v>427.23</v>
      </c>
      <c r="H42" s="15">
        <v>427.23</v>
      </c>
      <c r="I42" s="15">
        <v>570.88</v>
      </c>
      <c r="J42" s="15">
        <v>469.22</v>
      </c>
      <c r="K42" s="15">
        <v>469.22</v>
      </c>
      <c r="L42" s="15">
        <v>469.22</v>
      </c>
      <c r="M42" s="15">
        <v>980.38</v>
      </c>
      <c r="N42" s="15">
        <v>469.22</v>
      </c>
    </row>
    <row r="43" spans="1:14" x14ac:dyDescent="0.25">
      <c r="A43" s="10" t="s">
        <v>168</v>
      </c>
      <c r="B43" s="15">
        <v>570.88</v>
      </c>
      <c r="C43" s="15">
        <v>570.88</v>
      </c>
      <c r="D43" s="15">
        <v>570.88</v>
      </c>
      <c r="E43" s="15">
        <v>570.88</v>
      </c>
      <c r="F43" s="15">
        <v>570.88</v>
      </c>
      <c r="G43" s="15">
        <v>1141.76</v>
      </c>
      <c r="H43" s="15">
        <v>0</v>
      </c>
      <c r="I43" s="15">
        <v>570.88</v>
      </c>
      <c r="J43" s="15">
        <v>570.88</v>
      </c>
      <c r="K43" s="15">
        <v>570.88</v>
      </c>
      <c r="L43" s="15">
        <v>570.88</v>
      </c>
      <c r="M43" s="15">
        <v>570.88</v>
      </c>
      <c r="N43" s="15">
        <v>570.88</v>
      </c>
    </row>
    <row r="44" spans="1:14" x14ac:dyDescent="0.25">
      <c r="A44" s="10" t="s">
        <v>170</v>
      </c>
      <c r="B44" s="15">
        <v>570.88</v>
      </c>
      <c r="C44" s="15">
        <v>570.88</v>
      </c>
      <c r="D44" s="15">
        <v>570.88</v>
      </c>
      <c r="E44" s="15">
        <v>570.88</v>
      </c>
      <c r="F44" s="15">
        <v>570.88</v>
      </c>
      <c r="G44" s="15">
        <v>570.88</v>
      </c>
      <c r="H44" s="15">
        <v>570.88</v>
      </c>
      <c r="I44" s="15">
        <v>570.88</v>
      </c>
      <c r="J44" s="15">
        <v>570.88</v>
      </c>
      <c r="K44" s="15">
        <v>570.88</v>
      </c>
      <c r="L44" s="15">
        <v>570.88</v>
      </c>
      <c r="M44" s="15">
        <v>1037.54</v>
      </c>
      <c r="N44" s="15">
        <v>570.88</v>
      </c>
    </row>
    <row r="45" spans="1:14" x14ac:dyDescent="0.25">
      <c r="A45" s="10" t="s">
        <v>172</v>
      </c>
      <c r="B45" s="15">
        <v>570.88</v>
      </c>
      <c r="C45" s="15">
        <v>570.88</v>
      </c>
      <c r="D45" s="15">
        <v>570.88</v>
      </c>
      <c r="E45" s="15">
        <v>570.88</v>
      </c>
      <c r="F45" s="15">
        <v>570.88</v>
      </c>
      <c r="G45" s="15">
        <v>570.88</v>
      </c>
      <c r="H45" s="15">
        <v>570.88</v>
      </c>
      <c r="I45" s="15">
        <v>570.88</v>
      </c>
      <c r="J45" s="15">
        <v>570.88</v>
      </c>
      <c r="K45" s="15">
        <v>570.88</v>
      </c>
      <c r="L45" s="15">
        <v>570.88</v>
      </c>
      <c r="M45" s="15">
        <v>570.88</v>
      </c>
      <c r="N45" s="15">
        <v>570.88</v>
      </c>
    </row>
    <row r="46" spans="1:14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286</v>
      </c>
      <c r="K46" s="15">
        <v>286</v>
      </c>
      <c r="L46" s="15">
        <v>286</v>
      </c>
      <c r="M46" s="15">
        <v>286</v>
      </c>
      <c r="N46" s="15">
        <v>69.33</v>
      </c>
    </row>
    <row r="47" spans="1:14" x14ac:dyDescent="0.25">
      <c r="A47" s="10" t="s">
        <v>176</v>
      </c>
      <c r="B47" s="15">
        <v>398.82</v>
      </c>
      <c r="C47" s="15">
        <v>402.69</v>
      </c>
      <c r="D47" s="15">
        <v>402.69</v>
      </c>
      <c r="E47" s="15">
        <v>402.69</v>
      </c>
      <c r="F47" s="15">
        <v>402.69</v>
      </c>
      <c r="G47" s="15">
        <v>402.69</v>
      </c>
      <c r="H47" s="15">
        <v>402.69</v>
      </c>
      <c r="I47" s="15">
        <v>561.03</v>
      </c>
      <c r="J47" s="15">
        <v>442.27</v>
      </c>
      <c r="K47" s="15">
        <v>442.27</v>
      </c>
      <c r="L47" s="15">
        <v>442.27</v>
      </c>
      <c r="M47" s="15">
        <v>835.4</v>
      </c>
      <c r="N47" s="15">
        <v>442.27</v>
      </c>
    </row>
    <row r="48" spans="1:14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223.86</v>
      </c>
      <c r="I48" s="15">
        <v>293.14999999999998</v>
      </c>
      <c r="J48" s="15">
        <v>297.31</v>
      </c>
      <c r="K48" s="15">
        <v>295.23</v>
      </c>
      <c r="L48" s="15">
        <v>295.23</v>
      </c>
      <c r="M48" s="15">
        <v>295.23</v>
      </c>
      <c r="N48" s="15">
        <v>107.36</v>
      </c>
    </row>
    <row r="49" spans="1:14" x14ac:dyDescent="0.25">
      <c r="A49" s="10" t="s">
        <v>180</v>
      </c>
      <c r="B49" s="15">
        <v>447.22</v>
      </c>
      <c r="C49" s="15">
        <v>447.22</v>
      </c>
      <c r="D49" s="15">
        <v>447.22</v>
      </c>
      <c r="E49" s="15">
        <v>447.22</v>
      </c>
      <c r="F49" s="15">
        <v>447.22</v>
      </c>
      <c r="G49" s="15">
        <v>447.22</v>
      </c>
      <c r="H49" s="15">
        <v>447.22</v>
      </c>
      <c r="I49" s="15">
        <v>447.22</v>
      </c>
      <c r="J49" s="15">
        <v>570.88</v>
      </c>
      <c r="K49" s="15">
        <v>570.88</v>
      </c>
      <c r="L49" s="15">
        <v>570.88</v>
      </c>
      <c r="M49" s="15">
        <v>570.88</v>
      </c>
      <c r="N49" s="15">
        <v>570.88</v>
      </c>
    </row>
    <row r="50" spans="1:14" x14ac:dyDescent="0.25">
      <c r="A50" s="10" t="s">
        <v>182</v>
      </c>
      <c r="B50" s="15">
        <v>88.15</v>
      </c>
      <c r="C50" s="15">
        <v>423.89</v>
      </c>
      <c r="D50" s="15">
        <v>423.89</v>
      </c>
      <c r="E50" s="15">
        <v>423.89</v>
      </c>
      <c r="F50" s="15">
        <v>423.89</v>
      </c>
      <c r="G50" s="15">
        <v>423.89</v>
      </c>
      <c r="H50" s="15">
        <v>428.09</v>
      </c>
      <c r="I50" s="15">
        <v>570.88</v>
      </c>
      <c r="J50" s="15">
        <v>693.38</v>
      </c>
      <c r="K50" s="15">
        <v>351.44</v>
      </c>
      <c r="L50" s="15">
        <v>470.17</v>
      </c>
      <c r="M50" s="15">
        <v>470.17</v>
      </c>
      <c r="N50" s="15">
        <v>470.17</v>
      </c>
    </row>
    <row r="51" spans="1:14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66.67</v>
      </c>
      <c r="M51" s="15">
        <v>225</v>
      </c>
      <c r="N51" s="15">
        <v>16.670000000000002</v>
      </c>
    </row>
    <row r="52" spans="1:14" x14ac:dyDescent="0.25">
      <c r="A52" s="10" t="s">
        <v>186</v>
      </c>
      <c r="B52" s="15">
        <v>549.70000000000005</v>
      </c>
      <c r="C52" s="15">
        <v>549.70000000000005</v>
      </c>
      <c r="D52" s="15">
        <v>549.70000000000005</v>
      </c>
      <c r="E52" s="15">
        <v>549.70000000000005</v>
      </c>
      <c r="F52" s="15">
        <v>549.70000000000005</v>
      </c>
      <c r="G52" s="15">
        <v>549.70000000000005</v>
      </c>
      <c r="H52" s="15">
        <v>549.70000000000005</v>
      </c>
      <c r="I52" s="15">
        <v>549.70000000000005</v>
      </c>
      <c r="J52" s="15">
        <v>570.88</v>
      </c>
      <c r="K52" s="15">
        <v>743.93</v>
      </c>
      <c r="L52" s="15">
        <v>397.83</v>
      </c>
      <c r="M52" s="15">
        <v>570.88</v>
      </c>
      <c r="N52" s="15">
        <v>570.88</v>
      </c>
    </row>
    <row r="53" spans="1:14" x14ac:dyDescent="0.25">
      <c r="A53" s="10" t="s">
        <v>188</v>
      </c>
      <c r="B53" s="15">
        <v>570.88</v>
      </c>
      <c r="C53" s="15">
        <v>570.88</v>
      </c>
      <c r="D53" s="15">
        <v>570.88</v>
      </c>
      <c r="E53" s="15">
        <v>570.88</v>
      </c>
      <c r="F53" s="15">
        <v>570.88</v>
      </c>
      <c r="G53" s="15">
        <v>570.88</v>
      </c>
      <c r="H53" s="15">
        <v>570.88</v>
      </c>
      <c r="I53" s="15">
        <v>570.88</v>
      </c>
      <c r="J53" s="15">
        <v>570.88</v>
      </c>
      <c r="K53" s="15">
        <v>570.88</v>
      </c>
      <c r="L53" s="15">
        <v>570.88</v>
      </c>
      <c r="M53" s="15">
        <v>570.88</v>
      </c>
      <c r="N53" s="15">
        <v>570.88</v>
      </c>
    </row>
    <row r="54" spans="1:14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35.200000000000003</v>
      </c>
      <c r="K54" s="15">
        <v>363</v>
      </c>
      <c r="L54" s="15">
        <v>363</v>
      </c>
      <c r="M54" s="15">
        <v>363</v>
      </c>
      <c r="N54" s="15">
        <v>66</v>
      </c>
    </row>
    <row r="55" spans="1:14" x14ac:dyDescent="0.25">
      <c r="A55" s="10" t="s">
        <v>192</v>
      </c>
      <c r="B55" s="15">
        <v>411.28</v>
      </c>
      <c r="C55" s="15">
        <v>415.27</v>
      </c>
      <c r="D55" s="15">
        <v>415.27</v>
      </c>
      <c r="E55" s="15">
        <v>415.27</v>
      </c>
      <c r="F55" s="15">
        <v>415.27</v>
      </c>
      <c r="G55" s="15">
        <v>415.27</v>
      </c>
      <c r="H55" s="15">
        <v>415.27</v>
      </c>
      <c r="I55" s="15">
        <v>570.88</v>
      </c>
      <c r="J55" s="15">
        <v>456.09</v>
      </c>
      <c r="K55" s="15">
        <v>456.09</v>
      </c>
      <c r="L55" s="15">
        <v>456.09</v>
      </c>
      <c r="M55" s="15">
        <v>718.69</v>
      </c>
      <c r="N55" s="15">
        <v>456.09</v>
      </c>
    </row>
    <row r="56" spans="1:14" x14ac:dyDescent="0.25">
      <c r="A56" s="10" t="s">
        <v>194</v>
      </c>
      <c r="B56" s="15">
        <v>20.45</v>
      </c>
      <c r="C56" s="15">
        <v>153.43</v>
      </c>
      <c r="D56" s="15">
        <v>154.91999999999999</v>
      </c>
      <c r="E56" s="15">
        <v>154.91999999999999</v>
      </c>
      <c r="F56" s="15">
        <v>154.91999999999999</v>
      </c>
      <c r="G56" s="15">
        <v>154.91999999999999</v>
      </c>
      <c r="H56" s="15">
        <v>154.91999999999999</v>
      </c>
      <c r="I56" s="15">
        <v>323.83</v>
      </c>
      <c r="J56" s="15">
        <v>63.75</v>
      </c>
      <c r="K56" s="15">
        <v>0</v>
      </c>
      <c r="L56" s="15">
        <v>0</v>
      </c>
      <c r="M56" s="15">
        <v>0</v>
      </c>
      <c r="N56" s="15">
        <v>113.43</v>
      </c>
    </row>
    <row r="57" spans="1:14" x14ac:dyDescent="0.25">
      <c r="A57" s="10" t="s">
        <v>196</v>
      </c>
      <c r="B57" s="15">
        <v>550</v>
      </c>
      <c r="C57" s="15">
        <v>550</v>
      </c>
      <c r="D57" s="15">
        <v>550</v>
      </c>
      <c r="E57" s="15">
        <v>550</v>
      </c>
      <c r="F57" s="15">
        <v>550</v>
      </c>
      <c r="G57" s="15">
        <v>550</v>
      </c>
      <c r="H57" s="15">
        <v>550</v>
      </c>
      <c r="I57" s="15">
        <v>550</v>
      </c>
      <c r="J57" s="15">
        <v>570.88</v>
      </c>
      <c r="K57" s="15">
        <v>570.88</v>
      </c>
      <c r="L57" s="15">
        <v>570.88</v>
      </c>
      <c r="M57" s="15">
        <v>1091.1500000000001</v>
      </c>
      <c r="N57" s="15">
        <v>570.88</v>
      </c>
    </row>
    <row r="58" spans="1:14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308</v>
      </c>
      <c r="M58" s="15">
        <v>308</v>
      </c>
      <c r="N58" s="15">
        <v>37.33</v>
      </c>
    </row>
    <row r="59" spans="1:14" x14ac:dyDescent="0.25">
      <c r="A59" s="10" t="s">
        <v>200</v>
      </c>
      <c r="B59" s="15">
        <v>57.87</v>
      </c>
      <c r="C59" s="15">
        <v>527.15</v>
      </c>
      <c r="D59" s="15">
        <v>515.69000000000005</v>
      </c>
      <c r="E59" s="15">
        <v>520.70000000000005</v>
      </c>
      <c r="F59" s="15">
        <v>520.70000000000005</v>
      </c>
      <c r="G59" s="15">
        <v>520.70000000000005</v>
      </c>
      <c r="H59" s="15">
        <v>520.70000000000005</v>
      </c>
      <c r="I59" s="15">
        <v>570.88</v>
      </c>
      <c r="J59" s="15">
        <v>570.88</v>
      </c>
      <c r="K59" s="15">
        <v>570.88</v>
      </c>
      <c r="L59" s="15">
        <v>570.88</v>
      </c>
      <c r="M59" s="15">
        <v>570.88</v>
      </c>
      <c r="N59" s="15">
        <v>570.88</v>
      </c>
    </row>
    <row r="60" spans="1:14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337.7</v>
      </c>
      <c r="I60" s="15">
        <v>337.7</v>
      </c>
      <c r="J60" s="15">
        <v>342.5</v>
      </c>
      <c r="K60" s="15">
        <v>340.1</v>
      </c>
      <c r="L60" s="15">
        <v>340.1</v>
      </c>
      <c r="M60" s="15">
        <v>340.1</v>
      </c>
      <c r="N60" s="15">
        <v>123.67</v>
      </c>
    </row>
    <row r="61" spans="1:14" x14ac:dyDescent="0.25">
      <c r="A61" s="10" t="s">
        <v>204</v>
      </c>
      <c r="B61" s="15">
        <v>155.6</v>
      </c>
      <c r="C61" s="15">
        <v>155.6</v>
      </c>
      <c r="D61" s="15">
        <v>207</v>
      </c>
      <c r="E61" s="15">
        <v>207</v>
      </c>
      <c r="F61" s="15">
        <v>207</v>
      </c>
      <c r="G61" s="15">
        <v>207</v>
      </c>
      <c r="H61" s="15">
        <v>207</v>
      </c>
      <c r="I61" s="15">
        <v>352.48</v>
      </c>
      <c r="J61" s="15">
        <v>227.35</v>
      </c>
      <c r="K61" s="15">
        <v>227.35</v>
      </c>
      <c r="L61" s="15">
        <v>227.35</v>
      </c>
      <c r="M61" s="15">
        <v>227.35</v>
      </c>
      <c r="N61" s="15">
        <v>227.35</v>
      </c>
    </row>
    <row r="62" spans="1:14" x14ac:dyDescent="0.25">
      <c r="A62" s="10" t="s">
        <v>206</v>
      </c>
      <c r="B62" s="15">
        <v>490.24</v>
      </c>
      <c r="C62" s="15">
        <v>490.24</v>
      </c>
      <c r="D62" s="15">
        <v>490.24</v>
      </c>
      <c r="E62" s="15">
        <v>490.24</v>
      </c>
      <c r="F62" s="15">
        <v>490.24</v>
      </c>
      <c r="G62" s="15">
        <v>490.24</v>
      </c>
      <c r="H62" s="15">
        <v>490.24</v>
      </c>
      <c r="I62" s="15">
        <v>490.24</v>
      </c>
      <c r="J62" s="15">
        <v>570.88</v>
      </c>
      <c r="K62" s="15">
        <v>570.88</v>
      </c>
      <c r="L62" s="15">
        <v>570.88</v>
      </c>
      <c r="M62" s="15">
        <v>570.88</v>
      </c>
      <c r="N62" s="15">
        <v>570.88</v>
      </c>
    </row>
    <row r="63" spans="1:14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53.67</v>
      </c>
      <c r="J63" s="15">
        <v>67.08</v>
      </c>
      <c r="K63" s="15">
        <v>67.08</v>
      </c>
      <c r="L63" s="15">
        <v>67.08</v>
      </c>
      <c r="M63" s="15">
        <v>67.08</v>
      </c>
      <c r="N63" s="15">
        <v>27.95</v>
      </c>
    </row>
    <row r="64" spans="1:14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153.38</v>
      </c>
      <c r="I64" s="15">
        <v>164.34</v>
      </c>
      <c r="J64" s="15">
        <v>166.67</v>
      </c>
      <c r="K64" s="15">
        <v>165.51</v>
      </c>
      <c r="L64" s="15">
        <v>165.51</v>
      </c>
      <c r="M64" s="15">
        <v>165.51</v>
      </c>
      <c r="N64" s="15">
        <v>73.56</v>
      </c>
    </row>
    <row r="65" spans="1:14" x14ac:dyDescent="0.25">
      <c r="A65" s="10" t="s">
        <v>212</v>
      </c>
      <c r="B65" s="15">
        <v>0</v>
      </c>
      <c r="C65" s="15">
        <v>0</v>
      </c>
      <c r="D65" s="15">
        <v>37.33</v>
      </c>
      <c r="E65" s="15">
        <v>385</v>
      </c>
      <c r="F65" s="15">
        <v>385</v>
      </c>
      <c r="G65" s="15">
        <v>385</v>
      </c>
      <c r="H65" s="15">
        <v>385</v>
      </c>
      <c r="I65" s="15">
        <v>385</v>
      </c>
      <c r="J65" s="15">
        <v>412.49</v>
      </c>
      <c r="K65" s="15">
        <v>398.74</v>
      </c>
      <c r="L65" s="15">
        <v>398.74</v>
      </c>
      <c r="M65" s="15">
        <v>398.74</v>
      </c>
      <c r="N65" s="15">
        <v>299.06</v>
      </c>
    </row>
    <row r="66" spans="1:14" x14ac:dyDescent="0.25">
      <c r="A66" s="10" t="s">
        <v>214</v>
      </c>
      <c r="B66" s="15">
        <v>570.88</v>
      </c>
      <c r="C66" s="15">
        <v>570.88</v>
      </c>
      <c r="D66" s="15">
        <v>570.88</v>
      </c>
      <c r="E66" s="15">
        <v>570.88</v>
      </c>
      <c r="F66" s="15">
        <v>570.88</v>
      </c>
      <c r="G66" s="15">
        <v>570.88</v>
      </c>
      <c r="H66" s="15">
        <v>570.88</v>
      </c>
      <c r="I66" s="15">
        <v>570.88</v>
      </c>
      <c r="J66" s="15">
        <v>570.88</v>
      </c>
      <c r="K66" s="15">
        <v>570.88</v>
      </c>
      <c r="L66" s="15">
        <v>570.88</v>
      </c>
      <c r="M66" s="15">
        <v>570.88</v>
      </c>
      <c r="N66" s="15">
        <v>570.88</v>
      </c>
    </row>
    <row r="67" spans="1:14" x14ac:dyDescent="0.25">
      <c r="A67" s="10" t="s">
        <v>216</v>
      </c>
      <c r="B67" s="15">
        <v>570.88</v>
      </c>
      <c r="C67" s="15">
        <v>570.88</v>
      </c>
      <c r="D67" s="15">
        <v>570.88</v>
      </c>
      <c r="E67" s="15">
        <v>570.88</v>
      </c>
      <c r="F67" s="15">
        <v>570.88</v>
      </c>
      <c r="G67" s="15">
        <v>570.88</v>
      </c>
      <c r="H67" s="15">
        <v>570.88</v>
      </c>
      <c r="I67" s="15">
        <v>570.88</v>
      </c>
      <c r="J67" s="15">
        <v>570.88</v>
      </c>
      <c r="K67" s="15">
        <v>570.88</v>
      </c>
      <c r="L67" s="15">
        <v>570.88</v>
      </c>
      <c r="M67" s="15">
        <v>570.88</v>
      </c>
      <c r="N67" s="15">
        <v>570.88</v>
      </c>
    </row>
    <row r="68" spans="1:14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36</v>
      </c>
      <c r="G68" s="15">
        <v>120</v>
      </c>
      <c r="H68" s="15">
        <v>120</v>
      </c>
      <c r="I68" s="15">
        <v>120</v>
      </c>
      <c r="J68" s="15">
        <v>140.78</v>
      </c>
      <c r="K68" s="15">
        <v>122.57</v>
      </c>
      <c r="L68" s="15">
        <v>122.57</v>
      </c>
      <c r="M68" s="15">
        <v>122.57</v>
      </c>
      <c r="N68" s="15">
        <v>71.5</v>
      </c>
    </row>
    <row r="69" spans="1:14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550</v>
      </c>
      <c r="F69" s="15">
        <v>550</v>
      </c>
      <c r="G69" s="15">
        <v>550</v>
      </c>
      <c r="H69" s="15">
        <v>550</v>
      </c>
      <c r="I69" s="15">
        <v>550</v>
      </c>
      <c r="J69" s="15">
        <v>570.88</v>
      </c>
      <c r="K69" s="15">
        <v>565.67999999999995</v>
      </c>
      <c r="L69" s="15">
        <v>565.67999999999995</v>
      </c>
      <c r="M69" s="15">
        <v>565.67999999999995</v>
      </c>
      <c r="N69" s="15">
        <v>424.26</v>
      </c>
    </row>
    <row r="70" spans="1:14" x14ac:dyDescent="0.25">
      <c r="A70" s="10" t="s">
        <v>222</v>
      </c>
      <c r="B70" s="15">
        <v>570.88</v>
      </c>
      <c r="C70" s="15">
        <v>570.88</v>
      </c>
      <c r="D70" s="15">
        <v>570.88</v>
      </c>
      <c r="E70" s="15">
        <v>570.88</v>
      </c>
      <c r="F70" s="15">
        <v>570.88</v>
      </c>
      <c r="G70" s="15">
        <v>570.88</v>
      </c>
      <c r="H70" s="15">
        <v>570.88</v>
      </c>
      <c r="I70" s="15">
        <v>570.88</v>
      </c>
      <c r="J70" s="15">
        <v>570.88</v>
      </c>
      <c r="K70" s="15">
        <v>570.88</v>
      </c>
      <c r="L70" s="15">
        <v>570.88</v>
      </c>
      <c r="M70" s="15">
        <v>570.88</v>
      </c>
      <c r="N70" s="15">
        <v>570.88</v>
      </c>
    </row>
    <row r="71" spans="1:14" x14ac:dyDescent="0.25">
      <c r="A71" s="10" t="s">
        <v>224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0</v>
      </c>
    </row>
    <row r="72" spans="1:14" x14ac:dyDescent="0.25">
      <c r="A72" s="10" t="s">
        <v>226</v>
      </c>
      <c r="B72" s="15">
        <v>570.88</v>
      </c>
      <c r="C72" s="15">
        <v>570.88</v>
      </c>
      <c r="D72" s="15">
        <v>570.88</v>
      </c>
      <c r="E72" s="15">
        <v>570.88</v>
      </c>
      <c r="F72" s="15">
        <v>570.88</v>
      </c>
      <c r="G72" s="15">
        <v>570.88</v>
      </c>
      <c r="H72" s="15">
        <v>570.88</v>
      </c>
      <c r="I72" s="15">
        <v>570.88</v>
      </c>
      <c r="J72" s="15">
        <v>570.88</v>
      </c>
      <c r="K72" s="15">
        <v>570.88</v>
      </c>
      <c r="L72" s="15">
        <v>570.88</v>
      </c>
      <c r="M72" s="15">
        <v>570.88</v>
      </c>
      <c r="N72" s="15">
        <v>570.88</v>
      </c>
    </row>
    <row r="73" spans="1:14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36</v>
      </c>
      <c r="G73" s="15">
        <v>120</v>
      </c>
      <c r="H73" s="15">
        <v>120</v>
      </c>
      <c r="I73" s="15">
        <v>120</v>
      </c>
      <c r="J73" s="15">
        <v>140.78</v>
      </c>
      <c r="K73" s="15">
        <v>122.57</v>
      </c>
      <c r="L73" s="15">
        <v>122.57</v>
      </c>
      <c r="M73" s="15">
        <v>122.57</v>
      </c>
      <c r="N73" s="15">
        <v>71.5</v>
      </c>
    </row>
    <row r="74" spans="1:14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373.23</v>
      </c>
      <c r="I74" s="15">
        <v>373.23</v>
      </c>
      <c r="J74" s="15">
        <v>378.53</v>
      </c>
      <c r="K74" s="15">
        <v>375.88</v>
      </c>
      <c r="L74" s="15">
        <v>375.88</v>
      </c>
      <c r="M74" s="15">
        <v>375.88</v>
      </c>
      <c r="N74" s="15">
        <v>153.77000000000001</v>
      </c>
    </row>
    <row r="75" spans="1:14" x14ac:dyDescent="0.25">
      <c r="A75" s="10" t="s">
        <v>232</v>
      </c>
      <c r="B75" s="15">
        <v>435.78</v>
      </c>
      <c r="C75" s="15">
        <v>435.78</v>
      </c>
      <c r="D75" s="15">
        <v>435.78</v>
      </c>
      <c r="E75" s="15">
        <v>435.78</v>
      </c>
      <c r="F75" s="15">
        <v>435.78</v>
      </c>
      <c r="G75" s="15">
        <v>440.09</v>
      </c>
      <c r="H75" s="15">
        <v>440.09</v>
      </c>
      <c r="I75" s="15">
        <v>570.88</v>
      </c>
      <c r="J75" s="15">
        <v>1054.23</v>
      </c>
      <c r="K75" s="15">
        <v>0</v>
      </c>
      <c r="L75" s="15">
        <v>488.72</v>
      </c>
      <c r="M75" s="15">
        <v>483.35</v>
      </c>
      <c r="N75" s="15">
        <v>483.35</v>
      </c>
    </row>
    <row r="76" spans="1:14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</row>
    <row r="77" spans="1:14" x14ac:dyDescent="0.25">
      <c r="A77" s="10" t="s">
        <v>236</v>
      </c>
      <c r="B77" s="15">
        <v>570.88</v>
      </c>
      <c r="C77" s="15">
        <v>570.88</v>
      </c>
      <c r="D77" s="15">
        <v>570.88</v>
      </c>
      <c r="E77" s="15">
        <v>570.88</v>
      </c>
      <c r="F77" s="15">
        <v>570.88</v>
      </c>
      <c r="G77" s="15">
        <v>570.88</v>
      </c>
      <c r="H77" s="15">
        <v>1141.76</v>
      </c>
      <c r="I77" s="15">
        <v>0</v>
      </c>
      <c r="J77" s="15">
        <v>570.88</v>
      </c>
      <c r="K77" s="15">
        <v>570.88</v>
      </c>
      <c r="L77" s="15">
        <v>570.88</v>
      </c>
      <c r="M77" s="15">
        <v>570.88</v>
      </c>
      <c r="N77" s="15">
        <v>570.88</v>
      </c>
    </row>
    <row r="78" spans="1:14" x14ac:dyDescent="0.25">
      <c r="A78" s="10" t="s">
        <v>238</v>
      </c>
      <c r="B78" s="15">
        <v>570.88</v>
      </c>
      <c r="C78" s="15">
        <v>570.88</v>
      </c>
      <c r="D78" s="15">
        <v>570.88</v>
      </c>
      <c r="E78" s="15">
        <v>570.88</v>
      </c>
      <c r="F78" s="15">
        <v>570.88</v>
      </c>
      <c r="G78" s="15">
        <v>570.88</v>
      </c>
      <c r="H78" s="15">
        <v>570.88</v>
      </c>
      <c r="I78" s="15">
        <v>570.88</v>
      </c>
      <c r="J78" s="15">
        <v>570.88</v>
      </c>
      <c r="K78" s="15">
        <v>570.88</v>
      </c>
      <c r="L78" s="15">
        <v>570.88</v>
      </c>
      <c r="M78" s="15">
        <v>570.88</v>
      </c>
      <c r="N78" s="15">
        <v>570.88</v>
      </c>
    </row>
    <row r="79" spans="1:14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570.88</v>
      </c>
      <c r="H79" s="15">
        <v>570.88</v>
      </c>
      <c r="I79" s="15">
        <v>570.88</v>
      </c>
      <c r="J79" s="15">
        <v>570.88</v>
      </c>
      <c r="K79" s="15">
        <v>570.88</v>
      </c>
      <c r="L79" s="15">
        <v>570.88</v>
      </c>
      <c r="M79" s="15">
        <v>570.88</v>
      </c>
      <c r="N79" s="15">
        <v>570.88</v>
      </c>
    </row>
    <row r="80" spans="1:14" x14ac:dyDescent="0.25">
      <c r="A80" s="10" t="s">
        <v>242</v>
      </c>
      <c r="B80" s="15">
        <v>570.88</v>
      </c>
      <c r="C80" s="15">
        <v>570.88</v>
      </c>
      <c r="D80" s="15">
        <v>570.88</v>
      </c>
      <c r="E80" s="15">
        <v>570.88</v>
      </c>
      <c r="F80" s="15">
        <v>570.88</v>
      </c>
      <c r="G80" s="15">
        <v>570.88</v>
      </c>
      <c r="H80" s="15">
        <v>570.88</v>
      </c>
      <c r="I80" s="15">
        <v>570.88</v>
      </c>
      <c r="J80" s="15">
        <v>570.88</v>
      </c>
      <c r="K80" s="15">
        <v>570.88</v>
      </c>
      <c r="L80" s="15">
        <v>570.88</v>
      </c>
      <c r="M80" s="15">
        <v>1141.76</v>
      </c>
      <c r="N80" s="15">
        <v>570.88</v>
      </c>
    </row>
    <row r="81" spans="1:14" x14ac:dyDescent="0.25">
      <c r="A81" s="10" t="s">
        <v>244</v>
      </c>
      <c r="B81" s="15">
        <v>570.88</v>
      </c>
      <c r="C81" s="15">
        <v>570.88</v>
      </c>
      <c r="D81" s="15">
        <v>570.88</v>
      </c>
      <c r="E81" s="15">
        <v>570.88</v>
      </c>
      <c r="F81" s="15">
        <v>570.88</v>
      </c>
      <c r="G81" s="15">
        <v>570.88</v>
      </c>
      <c r="H81" s="15">
        <v>570.88</v>
      </c>
      <c r="I81" s="15">
        <v>570.88</v>
      </c>
      <c r="J81" s="15">
        <v>570.88</v>
      </c>
      <c r="K81" s="15">
        <v>570.88</v>
      </c>
      <c r="L81" s="15">
        <v>570.88</v>
      </c>
      <c r="M81" s="15">
        <v>570.88</v>
      </c>
      <c r="N81" s="15">
        <v>570.88</v>
      </c>
    </row>
    <row r="82" spans="1:14" x14ac:dyDescent="0.25">
      <c r="A82" s="10" t="s">
        <v>246</v>
      </c>
      <c r="B82" s="15">
        <v>570.88</v>
      </c>
      <c r="C82" s="15">
        <v>570.88</v>
      </c>
      <c r="D82" s="15">
        <v>570.88</v>
      </c>
      <c r="E82" s="15">
        <v>570.88</v>
      </c>
      <c r="F82" s="15">
        <v>570.88</v>
      </c>
      <c r="G82" s="15">
        <v>570.88</v>
      </c>
      <c r="H82" s="15">
        <v>570.88</v>
      </c>
      <c r="I82" s="15">
        <v>570.88</v>
      </c>
      <c r="J82" s="15">
        <v>570.88</v>
      </c>
      <c r="K82" s="15">
        <v>570.88</v>
      </c>
      <c r="L82" s="15">
        <v>570.88</v>
      </c>
      <c r="M82" s="15">
        <v>570.88</v>
      </c>
      <c r="N82" s="15">
        <v>570.88</v>
      </c>
    </row>
    <row r="83" spans="1:14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528</v>
      </c>
      <c r="G83" s="15">
        <v>570.88</v>
      </c>
      <c r="H83" s="15">
        <v>570.88</v>
      </c>
      <c r="I83" s="15">
        <v>570.88</v>
      </c>
      <c r="J83" s="15">
        <v>570.88</v>
      </c>
      <c r="K83" s="15">
        <v>570.88</v>
      </c>
      <c r="L83" s="15">
        <v>570.88</v>
      </c>
      <c r="M83" s="15">
        <v>570.88</v>
      </c>
      <c r="N83" s="15">
        <v>570.88</v>
      </c>
    </row>
    <row r="84" spans="1:14" x14ac:dyDescent="0.25">
      <c r="A84" s="10" t="s">
        <v>250</v>
      </c>
      <c r="B84" s="15">
        <v>570.88</v>
      </c>
      <c r="C84" s="15">
        <v>570.88</v>
      </c>
      <c r="D84" s="15">
        <v>570.88</v>
      </c>
      <c r="E84" s="15">
        <v>570.88</v>
      </c>
      <c r="F84" s="15">
        <v>570.88</v>
      </c>
      <c r="G84" s="15">
        <v>570.88</v>
      </c>
      <c r="H84" s="15">
        <v>570.88</v>
      </c>
      <c r="I84" s="15">
        <v>570.88</v>
      </c>
      <c r="J84" s="15">
        <v>570.88</v>
      </c>
      <c r="K84" s="15">
        <v>570.88</v>
      </c>
      <c r="L84" s="15">
        <v>570.88</v>
      </c>
      <c r="M84" s="15">
        <v>570.88</v>
      </c>
      <c r="N84" s="15">
        <v>570.88</v>
      </c>
    </row>
    <row r="85" spans="1:14" x14ac:dyDescent="0.25">
      <c r="A85" s="10" t="s">
        <v>252</v>
      </c>
      <c r="B85" s="15">
        <v>570.88</v>
      </c>
      <c r="C85" s="15">
        <v>570.88</v>
      </c>
      <c r="D85" s="15">
        <v>570.88</v>
      </c>
      <c r="E85" s="15">
        <v>570.88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570.88</v>
      </c>
    </row>
    <row r="86" spans="1:14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570.88</v>
      </c>
      <c r="F86" s="15">
        <v>570.88</v>
      </c>
      <c r="G86" s="15">
        <v>570.88</v>
      </c>
      <c r="H86" s="15">
        <v>570.88</v>
      </c>
      <c r="I86" s="15">
        <v>570.88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5">
      <c r="A87" s="10" t="s">
        <v>256</v>
      </c>
      <c r="B87" s="15">
        <v>570.88</v>
      </c>
      <c r="C87" s="15">
        <v>570.88</v>
      </c>
      <c r="D87" s="15">
        <v>570.88</v>
      </c>
      <c r="E87" s="15">
        <v>570.88</v>
      </c>
      <c r="F87" s="15">
        <v>570.88</v>
      </c>
      <c r="G87" s="15">
        <v>570.88</v>
      </c>
      <c r="H87" s="15">
        <v>570.88</v>
      </c>
      <c r="I87" s="15">
        <v>570.88</v>
      </c>
      <c r="J87" s="15">
        <v>570.88</v>
      </c>
      <c r="K87" s="15">
        <v>570.88</v>
      </c>
      <c r="L87" s="15">
        <v>570.88</v>
      </c>
      <c r="M87" s="15">
        <v>570.88</v>
      </c>
      <c r="N87" s="15">
        <v>570.88</v>
      </c>
    </row>
    <row r="88" spans="1:14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570.88</v>
      </c>
      <c r="N88" s="15">
        <v>100</v>
      </c>
    </row>
    <row r="89" spans="1:14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206.01</v>
      </c>
      <c r="M89" s="15">
        <v>359.7</v>
      </c>
      <c r="N89" s="15">
        <v>43.6</v>
      </c>
    </row>
    <row r="90" spans="1:14" x14ac:dyDescent="0.25">
      <c r="A90" s="10" t="s">
        <v>262</v>
      </c>
      <c r="B90" s="15">
        <v>570.88</v>
      </c>
      <c r="C90" s="15">
        <v>570.88</v>
      </c>
      <c r="D90" s="15">
        <v>570.88</v>
      </c>
      <c r="E90" s="15">
        <v>570.88</v>
      </c>
      <c r="F90" s="15">
        <v>570.88</v>
      </c>
      <c r="G90" s="15">
        <v>570.88</v>
      </c>
      <c r="H90" s="15">
        <v>570.88</v>
      </c>
      <c r="I90" s="15">
        <v>570.88</v>
      </c>
      <c r="J90" s="15">
        <v>570.88</v>
      </c>
      <c r="K90" s="15">
        <v>570.88</v>
      </c>
      <c r="L90" s="15">
        <v>570.88</v>
      </c>
      <c r="M90" s="15">
        <v>570.88</v>
      </c>
      <c r="N90" s="15">
        <v>570.88</v>
      </c>
    </row>
    <row r="91" spans="1:14" x14ac:dyDescent="0.25">
      <c r="A91" s="10" t="s">
        <v>264</v>
      </c>
      <c r="B91" s="15">
        <v>570.88</v>
      </c>
      <c r="C91" s="15">
        <v>570.88</v>
      </c>
      <c r="D91" s="15">
        <v>570.88</v>
      </c>
      <c r="E91" s="15">
        <v>570.88</v>
      </c>
      <c r="F91" s="15">
        <v>570.88</v>
      </c>
      <c r="G91" s="15">
        <v>570.88</v>
      </c>
      <c r="H91" s="15">
        <v>570.88</v>
      </c>
      <c r="I91" s="15">
        <v>570.88</v>
      </c>
      <c r="J91" s="15">
        <v>570.88</v>
      </c>
      <c r="K91" s="15">
        <v>1141.76</v>
      </c>
      <c r="L91" s="15">
        <v>0</v>
      </c>
      <c r="M91" s="15">
        <v>570.88</v>
      </c>
      <c r="N91" s="15">
        <v>570.88</v>
      </c>
    </row>
    <row r="92" spans="1:14" x14ac:dyDescent="0.25">
      <c r="A92" s="10" t="s">
        <v>266</v>
      </c>
      <c r="B92" s="15">
        <v>570.88</v>
      </c>
      <c r="C92" s="15">
        <v>570.88</v>
      </c>
      <c r="D92" s="15">
        <v>570.88</v>
      </c>
      <c r="E92" s="15">
        <v>570.88</v>
      </c>
      <c r="F92" s="15">
        <v>570.88</v>
      </c>
      <c r="G92" s="15">
        <v>570.88</v>
      </c>
      <c r="H92" s="15">
        <v>570.88</v>
      </c>
      <c r="I92" s="15">
        <v>570.88</v>
      </c>
      <c r="J92" s="15">
        <v>570.88</v>
      </c>
      <c r="K92" s="15">
        <v>570.88</v>
      </c>
      <c r="L92" s="15">
        <v>570.88</v>
      </c>
      <c r="M92" s="15">
        <v>570.88</v>
      </c>
      <c r="N92" s="15">
        <v>570.88</v>
      </c>
    </row>
    <row r="93" spans="1:14" x14ac:dyDescent="0.25">
      <c r="A93" s="10" t="s">
        <v>268</v>
      </c>
      <c r="B93" s="15">
        <v>570.88</v>
      </c>
      <c r="C93" s="15">
        <v>570.88</v>
      </c>
      <c r="D93" s="15">
        <v>570.88</v>
      </c>
      <c r="E93" s="15">
        <v>570.88</v>
      </c>
      <c r="F93" s="15">
        <v>570.88</v>
      </c>
      <c r="G93" s="15">
        <v>570.88</v>
      </c>
      <c r="H93" s="15">
        <v>570.88</v>
      </c>
      <c r="I93" s="15">
        <v>570.88</v>
      </c>
      <c r="J93" s="15">
        <v>570.88</v>
      </c>
      <c r="K93" s="15">
        <v>570.88</v>
      </c>
      <c r="L93" s="15">
        <v>570.88</v>
      </c>
      <c r="M93" s="15">
        <v>1141.76</v>
      </c>
      <c r="N93" s="15">
        <v>570.88</v>
      </c>
    </row>
    <row r="94" spans="1:14" x14ac:dyDescent="0.25">
      <c r="A94" s="10" t="s">
        <v>270</v>
      </c>
      <c r="B94" s="15">
        <v>570.88</v>
      </c>
      <c r="C94" s="15">
        <v>570.88</v>
      </c>
      <c r="D94" s="15">
        <v>570.88</v>
      </c>
      <c r="E94" s="15">
        <v>570.88</v>
      </c>
      <c r="F94" s="15">
        <v>570.88</v>
      </c>
      <c r="G94" s="15">
        <v>1141.76</v>
      </c>
      <c r="H94" s="15">
        <v>0</v>
      </c>
      <c r="I94" s="15">
        <v>570.88</v>
      </c>
      <c r="J94" s="15">
        <v>570.88</v>
      </c>
      <c r="K94" s="15">
        <v>570.88</v>
      </c>
      <c r="L94" s="15">
        <v>570.88</v>
      </c>
      <c r="M94" s="15">
        <v>570.88</v>
      </c>
      <c r="N94" s="15">
        <v>570.88</v>
      </c>
    </row>
    <row r="95" spans="1:14" x14ac:dyDescent="0.25">
      <c r="A95" s="10" t="s">
        <v>272</v>
      </c>
      <c r="B95" s="15">
        <v>570.88</v>
      </c>
      <c r="C95" s="15">
        <v>570.88</v>
      </c>
      <c r="D95" s="15">
        <v>570.88</v>
      </c>
      <c r="E95" s="15">
        <v>570.88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570.88</v>
      </c>
    </row>
    <row r="96" spans="1:14" x14ac:dyDescent="0.25">
      <c r="A96" s="10" t="s">
        <v>274</v>
      </c>
      <c r="B96" s="15">
        <v>403.9</v>
      </c>
      <c r="C96" s="15">
        <v>570.88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73.44</v>
      </c>
    </row>
    <row r="97" spans="1:14" x14ac:dyDescent="0.25">
      <c r="A97" s="10" t="s">
        <v>276</v>
      </c>
      <c r="B97" s="15">
        <v>0</v>
      </c>
      <c r="C97" s="15">
        <v>93.33</v>
      </c>
      <c r="D97" s="15">
        <v>550</v>
      </c>
      <c r="E97" s="15">
        <v>550</v>
      </c>
      <c r="F97" s="15">
        <v>550</v>
      </c>
      <c r="G97" s="15">
        <v>550</v>
      </c>
      <c r="H97" s="15">
        <v>550</v>
      </c>
      <c r="I97" s="15">
        <v>550</v>
      </c>
      <c r="J97" s="15">
        <v>570.88</v>
      </c>
      <c r="K97" s="15">
        <v>570.88</v>
      </c>
      <c r="L97" s="15">
        <v>570.88</v>
      </c>
      <c r="M97" s="15">
        <v>570.88</v>
      </c>
      <c r="N97" s="15">
        <v>477.95</v>
      </c>
    </row>
    <row r="98" spans="1:14" x14ac:dyDescent="0.25">
      <c r="A98" s="10" t="s">
        <v>278</v>
      </c>
      <c r="B98" s="15">
        <v>570.88</v>
      </c>
      <c r="C98" s="15">
        <v>570.88</v>
      </c>
      <c r="D98" s="15">
        <v>570.88</v>
      </c>
      <c r="E98" s="15">
        <v>570.88</v>
      </c>
      <c r="F98" s="15">
        <v>570.88</v>
      </c>
      <c r="G98" s="15">
        <v>988.16</v>
      </c>
      <c r="H98" s="15">
        <v>153.6</v>
      </c>
      <c r="I98" s="15">
        <v>570.88</v>
      </c>
      <c r="J98" s="15">
        <v>570.88</v>
      </c>
      <c r="K98" s="15">
        <v>570.88</v>
      </c>
      <c r="L98" s="15">
        <v>570.88</v>
      </c>
      <c r="M98" s="15">
        <v>570.88</v>
      </c>
      <c r="N98" s="15">
        <v>570.88</v>
      </c>
    </row>
    <row r="99" spans="1:14" x14ac:dyDescent="0.25">
      <c r="A99" s="10" t="s">
        <v>280</v>
      </c>
      <c r="B99" s="15">
        <v>570.88</v>
      </c>
      <c r="C99" s="15">
        <v>570.88</v>
      </c>
      <c r="D99" s="15">
        <v>570.88</v>
      </c>
      <c r="E99" s="15">
        <v>570.88</v>
      </c>
      <c r="F99" s="15">
        <v>570.88</v>
      </c>
      <c r="G99" s="15">
        <v>570.88</v>
      </c>
      <c r="H99" s="15">
        <v>570.88</v>
      </c>
      <c r="I99" s="15">
        <v>570.88</v>
      </c>
      <c r="J99" s="15">
        <v>570.88</v>
      </c>
      <c r="K99" s="15">
        <v>570.88</v>
      </c>
      <c r="L99" s="15">
        <v>570.88</v>
      </c>
      <c r="M99" s="15">
        <v>570.88</v>
      </c>
      <c r="N99" s="15">
        <v>570.88</v>
      </c>
    </row>
    <row r="100" spans="1:14" x14ac:dyDescent="0.25">
      <c r="A100" s="10" t="s">
        <v>282</v>
      </c>
      <c r="B100" s="15">
        <v>570.88</v>
      </c>
      <c r="C100" s="15">
        <v>570.88</v>
      </c>
      <c r="D100" s="15">
        <v>570.88</v>
      </c>
      <c r="E100" s="15">
        <v>570.88</v>
      </c>
      <c r="F100" s="15">
        <v>570.88</v>
      </c>
      <c r="G100" s="15">
        <v>570.88</v>
      </c>
      <c r="H100" s="15">
        <v>1141.76</v>
      </c>
      <c r="I100" s="15">
        <v>0</v>
      </c>
      <c r="J100" s="15">
        <v>570.88</v>
      </c>
      <c r="K100" s="15">
        <v>570.88</v>
      </c>
      <c r="L100" s="15">
        <v>570.88</v>
      </c>
      <c r="M100" s="15">
        <v>570.88</v>
      </c>
      <c r="N100" s="15">
        <v>570.88</v>
      </c>
    </row>
    <row r="101" spans="1:14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570.88</v>
      </c>
      <c r="I101" s="15">
        <v>570.88</v>
      </c>
      <c r="J101" s="15">
        <v>570.88</v>
      </c>
      <c r="K101" s="15">
        <v>570.88</v>
      </c>
      <c r="L101" s="15">
        <v>570.88</v>
      </c>
      <c r="M101" s="15">
        <v>570.88</v>
      </c>
      <c r="N101" s="15">
        <v>553.9</v>
      </c>
    </row>
    <row r="102" spans="1:14" x14ac:dyDescent="0.25">
      <c r="A102" s="10" t="s">
        <v>286</v>
      </c>
      <c r="B102" s="15">
        <v>570.88</v>
      </c>
      <c r="C102" s="15">
        <v>570.88</v>
      </c>
      <c r="D102" s="15">
        <v>570.88</v>
      </c>
      <c r="E102" s="15">
        <v>570.88</v>
      </c>
      <c r="F102" s="15">
        <v>570.88</v>
      </c>
      <c r="G102" s="15">
        <v>570.88</v>
      </c>
      <c r="H102" s="15">
        <v>1141.76</v>
      </c>
      <c r="I102" s="15">
        <v>0</v>
      </c>
      <c r="J102" s="15">
        <v>570.88</v>
      </c>
      <c r="K102" s="15">
        <v>570.88</v>
      </c>
      <c r="L102" s="15">
        <v>570.88</v>
      </c>
      <c r="M102" s="15">
        <v>570.88</v>
      </c>
      <c r="N102" s="15">
        <v>570.88</v>
      </c>
    </row>
    <row r="103" spans="1:14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165</v>
      </c>
      <c r="N103" s="15">
        <v>0</v>
      </c>
    </row>
    <row r="104" spans="1:14" x14ac:dyDescent="0.25">
      <c r="A104" s="10" t="s">
        <v>290</v>
      </c>
      <c r="B104" s="15">
        <v>570.88</v>
      </c>
      <c r="C104" s="15">
        <v>570.88</v>
      </c>
      <c r="D104" s="15">
        <v>570.88</v>
      </c>
      <c r="E104" s="15">
        <v>570.88</v>
      </c>
      <c r="F104" s="15">
        <v>570.88</v>
      </c>
      <c r="G104" s="15">
        <v>570.88</v>
      </c>
      <c r="H104" s="15">
        <v>570.88</v>
      </c>
      <c r="I104" s="15">
        <v>570.88</v>
      </c>
      <c r="J104" s="15">
        <v>570.88</v>
      </c>
      <c r="K104" s="15">
        <v>570.88</v>
      </c>
      <c r="L104" s="15">
        <v>570.88</v>
      </c>
      <c r="M104" s="15">
        <v>570.88</v>
      </c>
      <c r="N104" s="15">
        <v>570.88</v>
      </c>
    </row>
    <row r="105" spans="1:14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495</v>
      </c>
      <c r="H105" s="15">
        <v>495</v>
      </c>
      <c r="I105" s="15">
        <v>495</v>
      </c>
      <c r="J105" s="15">
        <v>509.16</v>
      </c>
      <c r="K105" s="15">
        <v>502.08</v>
      </c>
      <c r="L105" s="15">
        <v>502.08</v>
      </c>
      <c r="M105" s="15">
        <v>502.08</v>
      </c>
      <c r="N105" s="15">
        <v>292.88</v>
      </c>
    </row>
    <row r="106" spans="1:14" x14ac:dyDescent="0.25">
      <c r="A106" s="10" t="s">
        <v>294</v>
      </c>
      <c r="B106" s="15">
        <v>550</v>
      </c>
      <c r="C106" s="15">
        <v>550</v>
      </c>
      <c r="D106" s="15">
        <v>550</v>
      </c>
      <c r="E106" s="15">
        <v>550</v>
      </c>
      <c r="F106" s="15">
        <v>550</v>
      </c>
      <c r="G106" s="15">
        <v>550</v>
      </c>
      <c r="H106" s="15">
        <v>550</v>
      </c>
      <c r="I106" s="15">
        <v>550</v>
      </c>
      <c r="J106" s="15">
        <v>570.88</v>
      </c>
      <c r="K106" s="15">
        <v>570.88</v>
      </c>
      <c r="L106" s="15">
        <v>570.88</v>
      </c>
      <c r="M106" s="15">
        <v>570.88</v>
      </c>
      <c r="N106" s="15">
        <v>570.88</v>
      </c>
    </row>
    <row r="107" spans="1:14" x14ac:dyDescent="0.25">
      <c r="A107" s="10" t="s">
        <v>296</v>
      </c>
      <c r="B107" s="15">
        <v>550</v>
      </c>
      <c r="C107" s="15">
        <v>550</v>
      </c>
      <c r="D107" s="15">
        <v>550</v>
      </c>
      <c r="E107" s="15">
        <v>550</v>
      </c>
      <c r="F107" s="15">
        <v>550</v>
      </c>
      <c r="G107" s="15">
        <v>550</v>
      </c>
      <c r="H107" s="15">
        <v>550</v>
      </c>
      <c r="I107" s="15">
        <v>550</v>
      </c>
      <c r="J107" s="15">
        <v>570.88</v>
      </c>
      <c r="K107" s="15">
        <v>570.88</v>
      </c>
      <c r="L107" s="15">
        <v>570.88</v>
      </c>
      <c r="M107" s="15">
        <v>570.88</v>
      </c>
      <c r="N107" s="15">
        <v>570.88</v>
      </c>
    </row>
    <row r="108" spans="1:14" x14ac:dyDescent="0.25">
      <c r="A108" s="10" t="s">
        <v>298</v>
      </c>
      <c r="B108" s="15">
        <v>570.88</v>
      </c>
      <c r="C108" s="15">
        <v>570.88</v>
      </c>
      <c r="D108" s="15">
        <v>570.88</v>
      </c>
      <c r="E108" s="15">
        <v>570.88</v>
      </c>
      <c r="F108" s="15">
        <v>570.88</v>
      </c>
      <c r="G108" s="15">
        <v>570.88</v>
      </c>
      <c r="H108" s="15">
        <v>570.88</v>
      </c>
      <c r="I108" s="15">
        <v>570.88</v>
      </c>
      <c r="J108" s="15">
        <v>570.88</v>
      </c>
      <c r="K108" s="15">
        <v>570.88</v>
      </c>
      <c r="L108" s="15">
        <v>570.88</v>
      </c>
      <c r="M108" s="15">
        <v>570.88</v>
      </c>
      <c r="N108" s="15">
        <v>570.88</v>
      </c>
    </row>
    <row r="109" spans="1:14" x14ac:dyDescent="0.25">
      <c r="A109" s="10" t="s">
        <v>300</v>
      </c>
      <c r="B109" s="15">
        <v>570.88</v>
      </c>
      <c r="C109" s="15">
        <v>570.88</v>
      </c>
      <c r="D109" s="15">
        <v>570.88</v>
      </c>
      <c r="E109" s="15">
        <v>570.88</v>
      </c>
      <c r="F109" s="15">
        <v>570.88</v>
      </c>
      <c r="G109" s="15">
        <v>570.88</v>
      </c>
      <c r="H109" s="15">
        <v>570.88</v>
      </c>
      <c r="I109" s="15">
        <v>570.88</v>
      </c>
      <c r="J109" s="15">
        <v>570.88</v>
      </c>
      <c r="K109" s="15">
        <v>570.88</v>
      </c>
      <c r="L109" s="15">
        <v>570.88</v>
      </c>
      <c r="M109" s="15">
        <v>570.88</v>
      </c>
      <c r="N109" s="15">
        <v>570.88</v>
      </c>
    </row>
    <row r="110" spans="1:14" x14ac:dyDescent="0.25">
      <c r="A110" s="10" t="s">
        <v>302</v>
      </c>
      <c r="B110" s="15">
        <v>188.84</v>
      </c>
      <c r="C110" s="15">
        <v>188.84</v>
      </c>
      <c r="D110" s="15">
        <v>188.84</v>
      </c>
      <c r="E110" s="15">
        <v>188.84</v>
      </c>
      <c r="F110" s="15">
        <v>188.84</v>
      </c>
      <c r="G110" s="15">
        <v>490.98</v>
      </c>
      <c r="H110" s="15">
        <v>15.39</v>
      </c>
      <c r="I110" s="15">
        <v>178.11</v>
      </c>
      <c r="J110" s="15">
        <v>220.09</v>
      </c>
      <c r="K110" s="15">
        <v>205</v>
      </c>
      <c r="L110" s="15">
        <v>205</v>
      </c>
      <c r="M110" s="15">
        <v>205</v>
      </c>
      <c r="N110" s="15">
        <v>205</v>
      </c>
    </row>
    <row r="111" spans="1:14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172.7</v>
      </c>
      <c r="I111" s="15">
        <v>185.04</v>
      </c>
      <c r="J111" s="15">
        <v>187.67</v>
      </c>
      <c r="K111" s="15">
        <v>186.35</v>
      </c>
      <c r="L111" s="15">
        <v>186.35</v>
      </c>
      <c r="M111" s="15">
        <v>186.35</v>
      </c>
      <c r="N111" s="15">
        <v>82.82</v>
      </c>
    </row>
    <row r="112" spans="1:14" x14ac:dyDescent="0.25">
      <c r="A112" s="10" t="s">
        <v>306</v>
      </c>
      <c r="B112" s="15">
        <v>570.88</v>
      </c>
      <c r="C112" s="15">
        <v>570.88</v>
      </c>
      <c r="D112" s="15">
        <v>570.88</v>
      </c>
      <c r="E112" s="15">
        <v>570.88</v>
      </c>
      <c r="F112" s="15">
        <v>570.88</v>
      </c>
      <c r="G112" s="15">
        <v>570.88</v>
      </c>
      <c r="H112" s="15">
        <v>570.88</v>
      </c>
      <c r="I112" s="15">
        <v>570.88</v>
      </c>
      <c r="J112" s="15">
        <v>570.88</v>
      </c>
      <c r="K112" s="15">
        <v>570.88</v>
      </c>
      <c r="L112" s="15">
        <v>570.88</v>
      </c>
      <c r="M112" s="15">
        <v>731.37</v>
      </c>
      <c r="N112" s="15">
        <v>570.88</v>
      </c>
    </row>
    <row r="113" spans="1:14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36</v>
      </c>
      <c r="G113" s="15">
        <v>120</v>
      </c>
      <c r="H113" s="15">
        <v>120</v>
      </c>
      <c r="I113" s="15">
        <v>120</v>
      </c>
      <c r="J113" s="15">
        <v>140.78</v>
      </c>
      <c r="K113" s="15">
        <v>122.57</v>
      </c>
      <c r="L113" s="15">
        <v>122.57</v>
      </c>
      <c r="M113" s="15">
        <v>122.57</v>
      </c>
      <c r="N113" s="15">
        <v>71.5</v>
      </c>
    </row>
    <row r="114" spans="1:14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570.88</v>
      </c>
      <c r="H114" s="15">
        <v>570.88</v>
      </c>
      <c r="I114" s="15">
        <v>570.88</v>
      </c>
      <c r="J114" s="15">
        <v>570.88</v>
      </c>
      <c r="K114" s="15">
        <v>570.88</v>
      </c>
      <c r="L114" s="15">
        <v>570.88</v>
      </c>
      <c r="M114" s="15">
        <v>570.88</v>
      </c>
      <c r="N114" s="15">
        <v>461.9</v>
      </c>
    </row>
    <row r="115" spans="1:14" x14ac:dyDescent="0.25">
      <c r="A115" s="10" t="s">
        <v>312</v>
      </c>
      <c r="B115" s="15">
        <v>570.88</v>
      </c>
      <c r="C115" s="15">
        <v>570.88</v>
      </c>
      <c r="D115" s="15">
        <v>570.88</v>
      </c>
      <c r="E115" s="15">
        <v>570.88</v>
      </c>
      <c r="F115" s="15">
        <v>570.88</v>
      </c>
      <c r="G115" s="15">
        <v>570.88</v>
      </c>
      <c r="H115" s="15">
        <v>570.88</v>
      </c>
      <c r="I115" s="15">
        <v>760.97</v>
      </c>
      <c r="J115" s="15">
        <v>380.79</v>
      </c>
      <c r="K115" s="15">
        <v>570.88</v>
      </c>
      <c r="L115" s="15">
        <v>570.88</v>
      </c>
      <c r="M115" s="15">
        <v>570.88</v>
      </c>
      <c r="N115" s="15">
        <v>570.88</v>
      </c>
    </row>
    <row r="116" spans="1:14" x14ac:dyDescent="0.25">
      <c r="A116" s="10" t="s">
        <v>314</v>
      </c>
      <c r="B116" s="15">
        <v>57.87</v>
      </c>
      <c r="C116" s="15">
        <v>570.88</v>
      </c>
      <c r="D116" s="15">
        <v>570.88</v>
      </c>
      <c r="E116" s="15">
        <v>570.88</v>
      </c>
      <c r="F116" s="15">
        <v>570.88</v>
      </c>
      <c r="G116" s="15">
        <v>570.88</v>
      </c>
      <c r="H116" s="15">
        <v>570.88</v>
      </c>
      <c r="I116" s="15">
        <v>570.88</v>
      </c>
      <c r="J116" s="15">
        <v>1141.76</v>
      </c>
      <c r="K116" s="15">
        <v>0</v>
      </c>
      <c r="L116" s="15">
        <v>570.88</v>
      </c>
      <c r="M116" s="15">
        <v>570.88</v>
      </c>
      <c r="N116" s="15">
        <v>570.88</v>
      </c>
    </row>
    <row r="117" spans="1:14" x14ac:dyDescent="0.25">
      <c r="A117" s="10" t="s">
        <v>316</v>
      </c>
      <c r="B117" s="15">
        <v>570.88</v>
      </c>
      <c r="C117" s="15">
        <v>570.88</v>
      </c>
      <c r="D117" s="15">
        <v>570.88</v>
      </c>
      <c r="E117" s="15">
        <v>570.88</v>
      </c>
      <c r="F117" s="15">
        <v>570.88</v>
      </c>
      <c r="G117" s="15">
        <v>570.88</v>
      </c>
      <c r="H117" s="15">
        <v>570.88</v>
      </c>
      <c r="I117" s="15">
        <v>570.88</v>
      </c>
      <c r="J117" s="15">
        <v>570.88</v>
      </c>
      <c r="K117" s="15">
        <v>1141.76</v>
      </c>
      <c r="L117" s="15">
        <v>0</v>
      </c>
      <c r="M117" s="15">
        <v>570.88</v>
      </c>
      <c r="N117" s="15">
        <v>570.88</v>
      </c>
    </row>
    <row r="118" spans="1:14" x14ac:dyDescent="0.25">
      <c r="A118" s="10" t="s">
        <v>318</v>
      </c>
      <c r="B118" s="15">
        <v>570.88</v>
      </c>
      <c r="C118" s="15">
        <v>570.88</v>
      </c>
      <c r="D118" s="15">
        <v>570.88</v>
      </c>
      <c r="E118" s="15">
        <v>570.88</v>
      </c>
      <c r="F118" s="15">
        <v>570.88</v>
      </c>
      <c r="G118" s="15">
        <v>1141.76</v>
      </c>
      <c r="H118" s="15">
        <v>0</v>
      </c>
      <c r="I118" s="15">
        <v>570.88</v>
      </c>
      <c r="J118" s="15">
        <v>570.88</v>
      </c>
      <c r="K118" s="15">
        <v>570.88</v>
      </c>
      <c r="L118" s="15">
        <v>570.88</v>
      </c>
      <c r="M118" s="15">
        <v>570.88</v>
      </c>
      <c r="N118" s="15">
        <v>570.88</v>
      </c>
    </row>
    <row r="119" spans="1:14" x14ac:dyDescent="0.25">
      <c r="A119" s="10" t="s">
        <v>320</v>
      </c>
      <c r="B119" s="15">
        <v>57.87</v>
      </c>
      <c r="C119" s="15">
        <v>570.88</v>
      </c>
      <c r="D119" s="15">
        <v>570.88</v>
      </c>
      <c r="E119" s="15">
        <v>570.88</v>
      </c>
      <c r="F119" s="15">
        <v>570.88</v>
      </c>
      <c r="G119" s="15">
        <v>570.88</v>
      </c>
      <c r="H119" s="15">
        <v>570.88</v>
      </c>
      <c r="I119" s="15">
        <v>570.88</v>
      </c>
      <c r="J119" s="15">
        <v>570.88</v>
      </c>
      <c r="K119" s="15">
        <v>570.88</v>
      </c>
      <c r="L119" s="15">
        <v>570.88</v>
      </c>
      <c r="M119" s="15">
        <v>570.88</v>
      </c>
      <c r="N119" s="15">
        <v>570.88</v>
      </c>
    </row>
    <row r="120" spans="1:14" x14ac:dyDescent="0.25">
      <c r="A120" s="10" t="s">
        <v>322</v>
      </c>
      <c r="B120" s="15">
        <v>570.88</v>
      </c>
      <c r="C120" s="15">
        <v>570.88</v>
      </c>
      <c r="D120" s="15">
        <v>570.88</v>
      </c>
      <c r="E120" s="15">
        <v>570.88</v>
      </c>
      <c r="F120" s="15">
        <v>570.88</v>
      </c>
      <c r="G120" s="15">
        <v>570.88</v>
      </c>
      <c r="H120" s="15">
        <v>570.88</v>
      </c>
      <c r="I120" s="15">
        <v>570.88</v>
      </c>
      <c r="J120" s="15">
        <v>570.88</v>
      </c>
      <c r="K120" s="15">
        <v>570.88</v>
      </c>
      <c r="L120" s="15">
        <v>570.88</v>
      </c>
      <c r="M120" s="15">
        <v>570.88</v>
      </c>
      <c r="N120" s="15">
        <v>570.88</v>
      </c>
    </row>
    <row r="121" spans="1:14" x14ac:dyDescent="0.25">
      <c r="A121" s="10" t="s">
        <v>324</v>
      </c>
      <c r="B121" s="15">
        <v>0</v>
      </c>
      <c r="C121" s="15">
        <v>102.67</v>
      </c>
      <c r="D121" s="15">
        <v>570.88</v>
      </c>
      <c r="E121" s="15">
        <v>570.88</v>
      </c>
      <c r="F121" s="15">
        <v>570.88</v>
      </c>
      <c r="G121" s="15">
        <v>570.88</v>
      </c>
      <c r="H121" s="15">
        <v>570.88</v>
      </c>
      <c r="I121" s="15">
        <v>570.88</v>
      </c>
      <c r="J121" s="15">
        <v>570.88</v>
      </c>
      <c r="K121" s="15">
        <v>570.88</v>
      </c>
      <c r="L121" s="15">
        <v>570.88</v>
      </c>
      <c r="M121" s="15">
        <v>570.88</v>
      </c>
      <c r="N121" s="15">
        <v>525.74</v>
      </c>
    </row>
    <row r="122" spans="1:14" x14ac:dyDescent="0.25">
      <c r="A122" s="10" t="s">
        <v>326</v>
      </c>
      <c r="B122" s="15">
        <v>570.88</v>
      </c>
      <c r="C122" s="15">
        <v>570.88</v>
      </c>
      <c r="D122" s="15">
        <v>570.88</v>
      </c>
      <c r="E122" s="15">
        <v>570.88</v>
      </c>
      <c r="F122" s="15">
        <v>570.88</v>
      </c>
      <c r="G122" s="15">
        <v>1141.76</v>
      </c>
      <c r="H122" s="15">
        <v>0</v>
      </c>
      <c r="I122" s="15">
        <v>570.88</v>
      </c>
      <c r="J122" s="15">
        <v>570.88</v>
      </c>
      <c r="K122" s="15">
        <v>570.88</v>
      </c>
      <c r="L122" s="15">
        <v>570.88</v>
      </c>
      <c r="M122" s="15">
        <v>570.88</v>
      </c>
      <c r="N122" s="15">
        <v>570.88</v>
      </c>
    </row>
    <row r="123" spans="1:14" x14ac:dyDescent="0.25">
      <c r="A123" s="10" t="s">
        <v>328</v>
      </c>
      <c r="B123" s="15">
        <v>570.88</v>
      </c>
      <c r="C123" s="15">
        <v>570.88</v>
      </c>
      <c r="D123" s="15">
        <v>570.88</v>
      </c>
      <c r="E123" s="15">
        <v>570.88</v>
      </c>
      <c r="F123" s="15">
        <v>570.88</v>
      </c>
      <c r="G123" s="15">
        <v>570.88</v>
      </c>
      <c r="H123" s="15">
        <v>570.88</v>
      </c>
      <c r="I123" s="15">
        <v>570.88</v>
      </c>
      <c r="J123" s="15">
        <v>570.88</v>
      </c>
      <c r="K123" s="15">
        <v>570.88</v>
      </c>
      <c r="L123" s="15">
        <v>570.88</v>
      </c>
      <c r="M123" s="15">
        <v>570.88</v>
      </c>
      <c r="N123" s="15">
        <v>570.88</v>
      </c>
    </row>
    <row r="124" spans="1:14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46.4</v>
      </c>
      <c r="F124" s="15">
        <v>319</v>
      </c>
      <c r="G124" s="15">
        <v>319</v>
      </c>
      <c r="H124" s="15">
        <v>319</v>
      </c>
      <c r="I124" s="15">
        <v>319</v>
      </c>
      <c r="J124" s="15">
        <v>337.18</v>
      </c>
      <c r="K124" s="15">
        <v>328.09</v>
      </c>
      <c r="L124" s="15">
        <v>328.09</v>
      </c>
      <c r="M124" s="15">
        <v>328.09</v>
      </c>
      <c r="N124" s="15">
        <v>178.96</v>
      </c>
    </row>
    <row r="125" spans="1:14" x14ac:dyDescent="0.25">
      <c r="A125" s="10" t="s">
        <v>332</v>
      </c>
      <c r="B125" s="15">
        <v>570.88</v>
      </c>
      <c r="C125" s="15">
        <v>570.88</v>
      </c>
      <c r="D125" s="15">
        <v>570.88</v>
      </c>
      <c r="E125" s="15">
        <v>570.88</v>
      </c>
      <c r="F125" s="15">
        <v>570.88</v>
      </c>
      <c r="G125" s="15">
        <v>570.88</v>
      </c>
      <c r="H125" s="15">
        <v>570.88</v>
      </c>
      <c r="I125" s="15">
        <v>570.88</v>
      </c>
      <c r="J125" s="15">
        <v>570.88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5">
      <c r="A126" s="10" t="s">
        <v>334</v>
      </c>
      <c r="B126" s="15">
        <v>570.88</v>
      </c>
      <c r="C126" s="15">
        <v>570.88</v>
      </c>
      <c r="D126" s="15">
        <v>570.88</v>
      </c>
      <c r="E126" s="15">
        <v>570.88</v>
      </c>
      <c r="F126" s="15">
        <v>570.88</v>
      </c>
      <c r="G126" s="15">
        <v>570.88</v>
      </c>
      <c r="H126" s="15">
        <v>570.88</v>
      </c>
      <c r="I126" s="15">
        <v>570.88</v>
      </c>
      <c r="J126" s="15">
        <v>570.88</v>
      </c>
      <c r="K126" s="15">
        <v>570.88</v>
      </c>
      <c r="L126" s="15">
        <v>570.88</v>
      </c>
      <c r="M126" s="15">
        <v>570.88</v>
      </c>
      <c r="N126" s="15">
        <v>570.88</v>
      </c>
    </row>
    <row r="127" spans="1:14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570.88</v>
      </c>
      <c r="I127" s="15">
        <v>570.88</v>
      </c>
      <c r="J127" s="15">
        <v>570.88</v>
      </c>
      <c r="K127" s="15">
        <v>570.88</v>
      </c>
      <c r="L127" s="15">
        <v>570.88</v>
      </c>
      <c r="M127" s="15">
        <v>570.88</v>
      </c>
      <c r="N127" s="15">
        <v>432.27</v>
      </c>
    </row>
    <row r="128" spans="1:14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337.7</v>
      </c>
      <c r="I128" s="15">
        <v>337.7</v>
      </c>
      <c r="J128" s="15">
        <v>342.5</v>
      </c>
      <c r="K128" s="15">
        <v>340.1</v>
      </c>
      <c r="L128" s="15">
        <v>340.1</v>
      </c>
      <c r="M128" s="15">
        <v>340.1</v>
      </c>
      <c r="N128" s="15">
        <v>123.67</v>
      </c>
    </row>
    <row r="129" spans="1:14" x14ac:dyDescent="0.25">
      <c r="A129" s="10" t="s">
        <v>340</v>
      </c>
      <c r="B129" s="15">
        <v>57.87</v>
      </c>
      <c r="C129" s="15">
        <v>570.88</v>
      </c>
      <c r="D129" s="15">
        <v>570.88</v>
      </c>
      <c r="E129" s="15">
        <v>570.88</v>
      </c>
      <c r="F129" s="15">
        <v>570.88</v>
      </c>
      <c r="G129" s="15">
        <v>570.88</v>
      </c>
      <c r="H129" s="15">
        <v>570.88</v>
      </c>
      <c r="I129" s="15">
        <v>570.88</v>
      </c>
      <c r="J129" s="15">
        <v>570.88</v>
      </c>
      <c r="K129" s="15">
        <v>570.88</v>
      </c>
      <c r="L129" s="15">
        <v>570.88</v>
      </c>
      <c r="M129" s="15">
        <v>1141.76</v>
      </c>
      <c r="N129" s="15">
        <v>570.88</v>
      </c>
    </row>
    <row r="130" spans="1:14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168</v>
      </c>
      <c r="I130" s="15">
        <v>196.53</v>
      </c>
      <c r="J130" s="15">
        <v>182.68</v>
      </c>
      <c r="K130" s="15">
        <v>181.28</v>
      </c>
      <c r="L130" s="15">
        <v>181.28</v>
      </c>
      <c r="M130" s="15">
        <v>210.59</v>
      </c>
      <c r="N130" s="15">
        <v>81.8</v>
      </c>
    </row>
    <row r="131" spans="1:14" x14ac:dyDescent="0.25">
      <c r="A131" s="10" t="s">
        <v>344</v>
      </c>
      <c r="B131" s="15">
        <v>570.88</v>
      </c>
      <c r="C131" s="15">
        <v>570.88</v>
      </c>
      <c r="D131" s="15">
        <v>570.88</v>
      </c>
      <c r="E131" s="15">
        <v>570.88</v>
      </c>
      <c r="F131" s="15">
        <v>570.88</v>
      </c>
      <c r="G131" s="15">
        <v>570.88</v>
      </c>
      <c r="H131" s="15">
        <v>570.88</v>
      </c>
      <c r="I131" s="15">
        <v>570.88</v>
      </c>
      <c r="J131" s="15">
        <v>570.88</v>
      </c>
      <c r="K131" s="15">
        <v>570.88</v>
      </c>
      <c r="L131" s="15">
        <v>570.88</v>
      </c>
      <c r="M131" s="15">
        <v>570.88</v>
      </c>
      <c r="N131" s="15">
        <v>570.88</v>
      </c>
    </row>
    <row r="132" spans="1:14" x14ac:dyDescent="0.25">
      <c r="A132" s="10" t="s">
        <v>346</v>
      </c>
      <c r="B132" s="15">
        <v>570.88</v>
      </c>
      <c r="C132" s="15">
        <v>570.88</v>
      </c>
      <c r="D132" s="15">
        <v>570.88</v>
      </c>
      <c r="E132" s="15">
        <v>570.88</v>
      </c>
      <c r="F132" s="15">
        <v>570.88</v>
      </c>
      <c r="G132" s="15">
        <v>570.88</v>
      </c>
      <c r="H132" s="15">
        <v>570.88</v>
      </c>
      <c r="I132" s="15">
        <v>570.88</v>
      </c>
      <c r="J132" s="15">
        <v>570.88</v>
      </c>
      <c r="K132" s="15">
        <v>570.88</v>
      </c>
      <c r="L132" s="15">
        <v>570.88</v>
      </c>
      <c r="M132" s="15">
        <v>570.88</v>
      </c>
      <c r="N132" s="15">
        <v>570.88</v>
      </c>
    </row>
    <row r="133" spans="1:14" x14ac:dyDescent="0.25">
      <c r="A133" s="10" t="s">
        <v>348</v>
      </c>
      <c r="B133" s="15">
        <v>115.47</v>
      </c>
      <c r="C133" s="15">
        <v>570.88</v>
      </c>
      <c r="D133" s="15">
        <v>570.88</v>
      </c>
      <c r="E133" s="15">
        <v>570.88</v>
      </c>
      <c r="F133" s="15">
        <v>570.88</v>
      </c>
      <c r="G133" s="15">
        <v>570.88</v>
      </c>
      <c r="H133" s="15">
        <v>570.88</v>
      </c>
      <c r="I133" s="15">
        <v>570.88</v>
      </c>
      <c r="J133" s="15">
        <v>570.88</v>
      </c>
      <c r="K133" s="15">
        <v>570.88</v>
      </c>
      <c r="L133" s="15">
        <v>570.88</v>
      </c>
      <c r="M133" s="15">
        <v>1141.76</v>
      </c>
      <c r="N133" s="15">
        <v>570.88</v>
      </c>
    </row>
    <row r="134" spans="1:14" x14ac:dyDescent="0.25">
      <c r="A134" s="10" t="s">
        <v>350</v>
      </c>
      <c r="B134" s="15">
        <v>519.29999999999995</v>
      </c>
      <c r="C134" s="15">
        <v>980.9</v>
      </c>
      <c r="D134" s="15">
        <v>109.28</v>
      </c>
      <c r="E134" s="15">
        <v>570.88</v>
      </c>
      <c r="F134" s="15">
        <v>570.88</v>
      </c>
      <c r="G134" s="15">
        <v>570.88</v>
      </c>
      <c r="H134" s="15">
        <v>570.88</v>
      </c>
      <c r="I134" s="15">
        <v>570.88</v>
      </c>
      <c r="J134" s="15">
        <v>570.88</v>
      </c>
      <c r="K134" s="15">
        <v>570.88</v>
      </c>
      <c r="L134" s="15">
        <v>570.88</v>
      </c>
      <c r="M134" s="15">
        <v>570.88</v>
      </c>
      <c r="N134" s="15">
        <v>570.88</v>
      </c>
    </row>
    <row r="135" spans="1:14" x14ac:dyDescent="0.25">
      <c r="A135" s="10" t="s">
        <v>352</v>
      </c>
      <c r="B135" s="15">
        <v>570.88</v>
      </c>
      <c r="C135" s="15">
        <v>570.88</v>
      </c>
      <c r="D135" s="15">
        <v>570.88</v>
      </c>
      <c r="E135" s="15">
        <v>570.88</v>
      </c>
      <c r="F135" s="15">
        <v>570.88</v>
      </c>
      <c r="G135" s="15">
        <v>570.88</v>
      </c>
      <c r="H135" s="15">
        <v>570.88</v>
      </c>
      <c r="I135" s="15">
        <v>570.88</v>
      </c>
      <c r="J135" s="15">
        <v>570.88</v>
      </c>
      <c r="K135" s="15">
        <v>570.88</v>
      </c>
      <c r="L135" s="15">
        <v>570.88</v>
      </c>
      <c r="M135" s="15">
        <v>570.88</v>
      </c>
      <c r="N135" s="15">
        <v>570.88</v>
      </c>
    </row>
    <row r="136" spans="1:14" x14ac:dyDescent="0.25">
      <c r="A136" s="10" t="s">
        <v>354</v>
      </c>
      <c r="B136" s="15">
        <v>570.88</v>
      </c>
      <c r="C136" s="15">
        <v>570.88</v>
      </c>
      <c r="D136" s="15">
        <v>1141.76</v>
      </c>
      <c r="E136" s="15">
        <v>0</v>
      </c>
      <c r="F136" s="15">
        <v>570.88</v>
      </c>
      <c r="G136" s="15">
        <v>570.88</v>
      </c>
      <c r="H136" s="15">
        <v>570.88</v>
      </c>
      <c r="I136" s="15">
        <v>570.88</v>
      </c>
      <c r="J136" s="15">
        <v>570.88</v>
      </c>
      <c r="K136" s="15">
        <v>570.88</v>
      </c>
      <c r="L136" s="15">
        <v>570.88</v>
      </c>
      <c r="M136" s="15">
        <v>570.88</v>
      </c>
      <c r="N136" s="15">
        <v>570.88</v>
      </c>
    </row>
    <row r="137" spans="1:14" x14ac:dyDescent="0.25">
      <c r="A137" s="10" t="s">
        <v>356</v>
      </c>
      <c r="B137" s="15">
        <v>570.88</v>
      </c>
      <c r="C137" s="15">
        <v>570.88</v>
      </c>
      <c r="D137" s="15">
        <v>570.88</v>
      </c>
      <c r="E137" s="15">
        <v>570.88</v>
      </c>
      <c r="F137" s="15">
        <v>570.88</v>
      </c>
      <c r="G137" s="15">
        <v>570.88</v>
      </c>
      <c r="H137" s="15">
        <v>570.88</v>
      </c>
      <c r="I137" s="15">
        <v>570.88</v>
      </c>
      <c r="J137" s="15">
        <v>570.88</v>
      </c>
      <c r="K137" s="15">
        <v>570.88</v>
      </c>
      <c r="L137" s="15">
        <v>570.88</v>
      </c>
      <c r="M137" s="15">
        <v>570.88</v>
      </c>
      <c r="N137" s="15">
        <v>570.88</v>
      </c>
    </row>
    <row r="138" spans="1:14" x14ac:dyDescent="0.25">
      <c r="A138" s="10" t="s">
        <v>358</v>
      </c>
      <c r="B138" s="15">
        <v>403.9</v>
      </c>
      <c r="C138" s="15">
        <v>390.44</v>
      </c>
      <c r="D138" s="15">
        <v>417.37</v>
      </c>
      <c r="E138" s="15">
        <v>403.9</v>
      </c>
      <c r="F138" s="15">
        <v>403.9</v>
      </c>
      <c r="G138" s="15">
        <v>403.9</v>
      </c>
      <c r="H138" s="15">
        <v>403.9</v>
      </c>
      <c r="I138" s="15">
        <v>403.9</v>
      </c>
      <c r="J138" s="15">
        <v>473.05</v>
      </c>
      <c r="K138" s="15">
        <v>438.48</v>
      </c>
      <c r="L138" s="15">
        <v>438.48</v>
      </c>
      <c r="M138" s="15">
        <v>1009.36</v>
      </c>
      <c r="N138" s="15">
        <v>438.48</v>
      </c>
    </row>
    <row r="139" spans="1:14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337.7</v>
      </c>
      <c r="I139" s="15">
        <v>337.7</v>
      </c>
      <c r="J139" s="15">
        <v>342.5</v>
      </c>
      <c r="K139" s="15">
        <v>340.1</v>
      </c>
      <c r="L139" s="15">
        <v>340.1</v>
      </c>
      <c r="M139" s="15">
        <v>340.1</v>
      </c>
      <c r="N139" s="15">
        <v>123.67</v>
      </c>
    </row>
    <row r="140" spans="1:14" x14ac:dyDescent="0.25">
      <c r="A140" s="10" t="s">
        <v>362</v>
      </c>
      <c r="B140" s="15">
        <v>570.88</v>
      </c>
      <c r="C140" s="15">
        <v>570.88</v>
      </c>
      <c r="D140" s="15">
        <v>570.88</v>
      </c>
      <c r="E140" s="15">
        <v>570.88</v>
      </c>
      <c r="F140" s="15">
        <v>570.88</v>
      </c>
      <c r="G140" s="15">
        <v>1141.76</v>
      </c>
      <c r="H140" s="15">
        <v>0</v>
      </c>
      <c r="I140" s="15">
        <v>570.88</v>
      </c>
      <c r="J140" s="15">
        <v>570.88</v>
      </c>
      <c r="K140" s="15">
        <v>570.88</v>
      </c>
      <c r="L140" s="15">
        <v>570.88</v>
      </c>
      <c r="M140" s="15">
        <v>570.88</v>
      </c>
      <c r="N140" s="15">
        <v>570.88</v>
      </c>
    </row>
    <row r="141" spans="1:14" x14ac:dyDescent="0.25">
      <c r="A141" s="10" t="s">
        <v>364</v>
      </c>
      <c r="B141" s="15">
        <v>570.88</v>
      </c>
      <c r="C141" s="15">
        <v>570.88</v>
      </c>
      <c r="D141" s="15">
        <v>570.88</v>
      </c>
      <c r="E141" s="15">
        <v>570.88</v>
      </c>
      <c r="F141" s="15">
        <v>570.88</v>
      </c>
      <c r="G141" s="15">
        <v>570.88</v>
      </c>
      <c r="H141" s="15">
        <v>570.88</v>
      </c>
      <c r="I141" s="15">
        <v>570.88</v>
      </c>
      <c r="J141" s="15">
        <v>570.88</v>
      </c>
      <c r="K141" s="15">
        <v>570.88</v>
      </c>
      <c r="L141" s="15">
        <v>570.88</v>
      </c>
      <c r="M141" s="15">
        <v>570.88</v>
      </c>
      <c r="N141" s="15">
        <v>570.88</v>
      </c>
    </row>
    <row r="142" spans="1:14" x14ac:dyDescent="0.25">
      <c r="A142" s="10" t="s">
        <v>366</v>
      </c>
      <c r="B142" s="15">
        <v>570.88</v>
      </c>
      <c r="C142" s="15">
        <v>570.88</v>
      </c>
      <c r="D142" s="15">
        <v>570.88</v>
      </c>
      <c r="E142" s="15">
        <v>570.88</v>
      </c>
      <c r="F142" s="15">
        <v>570.88</v>
      </c>
      <c r="G142" s="15">
        <v>570.88</v>
      </c>
      <c r="H142" s="15">
        <v>570.88</v>
      </c>
      <c r="I142" s="15">
        <v>570.88</v>
      </c>
      <c r="J142" s="15">
        <v>570.88</v>
      </c>
      <c r="K142" s="15">
        <v>570.88</v>
      </c>
      <c r="L142" s="15">
        <v>570.88</v>
      </c>
      <c r="M142" s="15">
        <v>570.88</v>
      </c>
      <c r="N142" s="15">
        <v>570.88</v>
      </c>
    </row>
    <row r="143" spans="1:14" x14ac:dyDescent="0.25">
      <c r="A143" s="10" t="s">
        <v>368</v>
      </c>
      <c r="B143" s="15">
        <v>550</v>
      </c>
      <c r="C143" s="15">
        <v>550</v>
      </c>
      <c r="D143" s="15">
        <v>550</v>
      </c>
      <c r="E143" s="15">
        <v>550</v>
      </c>
      <c r="F143" s="15">
        <v>550</v>
      </c>
      <c r="G143" s="15">
        <v>550</v>
      </c>
      <c r="H143" s="15">
        <v>550</v>
      </c>
      <c r="I143" s="15">
        <v>550</v>
      </c>
      <c r="J143" s="15">
        <v>570.88</v>
      </c>
      <c r="K143" s="15">
        <v>570.88</v>
      </c>
      <c r="L143" s="15">
        <v>666.75</v>
      </c>
      <c r="M143" s="15">
        <v>475.01</v>
      </c>
      <c r="N143" s="15">
        <v>570.88</v>
      </c>
    </row>
    <row r="144" spans="1:14" x14ac:dyDescent="0.25">
      <c r="A144" s="10" t="s">
        <v>370</v>
      </c>
      <c r="B144" s="15">
        <v>570.88</v>
      </c>
      <c r="C144" s="15">
        <v>570.88</v>
      </c>
      <c r="D144" s="15">
        <v>570.88</v>
      </c>
      <c r="E144" s="15">
        <v>570.88</v>
      </c>
      <c r="F144" s="15">
        <v>570.88</v>
      </c>
      <c r="G144" s="15">
        <v>570.88</v>
      </c>
      <c r="H144" s="15">
        <v>570.88</v>
      </c>
      <c r="I144" s="15">
        <v>570.88</v>
      </c>
      <c r="J144" s="15">
        <v>570.88</v>
      </c>
      <c r="K144" s="15">
        <v>570.88</v>
      </c>
      <c r="L144" s="15">
        <v>570.88</v>
      </c>
      <c r="M144" s="15">
        <v>570.88</v>
      </c>
      <c r="N144" s="15">
        <v>570.88</v>
      </c>
    </row>
    <row r="145" spans="1:14" x14ac:dyDescent="0.25">
      <c r="A145" s="10" t="s">
        <v>372</v>
      </c>
      <c r="B145" s="15">
        <v>570.88</v>
      </c>
      <c r="C145" s="15">
        <v>529.09</v>
      </c>
      <c r="D145" s="15">
        <v>570.88</v>
      </c>
      <c r="E145" s="15">
        <v>529.09</v>
      </c>
      <c r="F145" s="15">
        <v>529.09</v>
      </c>
      <c r="G145" s="15">
        <v>529.09</v>
      </c>
      <c r="H145" s="15">
        <v>529.09</v>
      </c>
      <c r="I145" s="15">
        <v>529.09</v>
      </c>
      <c r="J145" s="15">
        <v>570.88</v>
      </c>
      <c r="K145" s="15">
        <v>570.88</v>
      </c>
      <c r="L145" s="15">
        <v>570.88</v>
      </c>
      <c r="M145" s="15">
        <v>570.88</v>
      </c>
      <c r="N145" s="15">
        <v>570.88</v>
      </c>
    </row>
    <row r="146" spans="1:14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189</v>
      </c>
      <c r="G146" s="15">
        <v>570.88</v>
      </c>
      <c r="H146" s="15">
        <v>570.88</v>
      </c>
      <c r="I146" s="15">
        <v>570.88</v>
      </c>
      <c r="J146" s="15">
        <v>570.88</v>
      </c>
      <c r="K146" s="15">
        <v>570.88</v>
      </c>
      <c r="L146" s="15">
        <v>570.88</v>
      </c>
      <c r="M146" s="15">
        <v>570.88</v>
      </c>
      <c r="N146" s="15">
        <v>458.78</v>
      </c>
    </row>
    <row r="147" spans="1:14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46.4</v>
      </c>
      <c r="F147" s="15">
        <v>319</v>
      </c>
      <c r="G147" s="15">
        <v>319</v>
      </c>
      <c r="H147" s="15">
        <v>319</v>
      </c>
      <c r="I147" s="15">
        <v>319</v>
      </c>
      <c r="J147" s="15">
        <v>337.18</v>
      </c>
      <c r="K147" s="15">
        <v>328.09</v>
      </c>
      <c r="L147" s="15">
        <v>328.09</v>
      </c>
      <c r="M147" s="15">
        <v>328.09</v>
      </c>
      <c r="N147" s="15">
        <v>178.96</v>
      </c>
    </row>
    <row r="148" spans="1:14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570.88</v>
      </c>
      <c r="H148" s="15">
        <v>570.88</v>
      </c>
      <c r="I148" s="15">
        <v>570.88</v>
      </c>
      <c r="J148" s="15">
        <v>570.88</v>
      </c>
      <c r="K148" s="15">
        <v>570.88</v>
      </c>
      <c r="L148" s="15">
        <v>570.88</v>
      </c>
      <c r="M148" s="15">
        <v>570.88</v>
      </c>
      <c r="N148" s="15">
        <v>570.88</v>
      </c>
    </row>
    <row r="149" spans="1:14" x14ac:dyDescent="0.25">
      <c r="A149" s="10" t="s">
        <v>380</v>
      </c>
      <c r="B149" s="15">
        <v>0</v>
      </c>
      <c r="C149" s="15">
        <v>484</v>
      </c>
      <c r="D149" s="15">
        <v>570.88</v>
      </c>
      <c r="E149" s="15">
        <v>570.88</v>
      </c>
      <c r="F149" s="15">
        <v>570.88</v>
      </c>
      <c r="G149" s="15">
        <v>570.88</v>
      </c>
      <c r="H149" s="15">
        <v>570.88</v>
      </c>
      <c r="I149" s="15">
        <v>570.88</v>
      </c>
      <c r="J149" s="15">
        <v>570.88</v>
      </c>
      <c r="K149" s="15">
        <v>570.88</v>
      </c>
      <c r="L149" s="15">
        <v>570.88</v>
      </c>
      <c r="M149" s="15">
        <v>570.88</v>
      </c>
      <c r="N149" s="15">
        <v>570.88</v>
      </c>
    </row>
    <row r="150" spans="1:14" x14ac:dyDescent="0.25">
      <c r="A150" s="10" t="s">
        <v>382</v>
      </c>
      <c r="B150" s="15">
        <v>440</v>
      </c>
      <c r="C150" s="15">
        <v>440</v>
      </c>
      <c r="D150" s="15">
        <v>440</v>
      </c>
      <c r="E150" s="15">
        <v>440</v>
      </c>
      <c r="F150" s="15">
        <v>440</v>
      </c>
      <c r="G150" s="15">
        <v>440</v>
      </c>
      <c r="H150" s="15">
        <v>440</v>
      </c>
      <c r="I150" s="15">
        <v>440</v>
      </c>
      <c r="J150" s="15">
        <v>515.33000000000004</v>
      </c>
      <c r="K150" s="15">
        <v>477.66</v>
      </c>
      <c r="L150" s="15">
        <v>477.66</v>
      </c>
      <c r="M150" s="15">
        <v>477.66</v>
      </c>
      <c r="N150" s="15">
        <v>477.66</v>
      </c>
    </row>
    <row r="151" spans="1:14" x14ac:dyDescent="0.25">
      <c r="A151" s="10" t="s">
        <v>384</v>
      </c>
      <c r="B151" s="15">
        <v>570.88</v>
      </c>
      <c r="C151" s="15">
        <v>570.88</v>
      </c>
      <c r="D151" s="15">
        <v>570.88</v>
      </c>
      <c r="E151" s="15">
        <v>570.88</v>
      </c>
      <c r="F151" s="15">
        <v>570.88</v>
      </c>
      <c r="G151" s="15">
        <v>570.88</v>
      </c>
      <c r="H151" s="15">
        <v>570.88</v>
      </c>
      <c r="I151" s="15">
        <v>570.88</v>
      </c>
      <c r="J151" s="15">
        <v>570.88</v>
      </c>
      <c r="K151" s="15">
        <v>570.88</v>
      </c>
      <c r="L151" s="15">
        <v>1141.76</v>
      </c>
      <c r="M151" s="15">
        <v>0</v>
      </c>
      <c r="N151" s="15">
        <v>570.88</v>
      </c>
    </row>
    <row r="152" spans="1:14" x14ac:dyDescent="0.25">
      <c r="A152" s="10" t="s">
        <v>386</v>
      </c>
      <c r="B152" s="15">
        <v>570.88</v>
      </c>
      <c r="C152" s="15">
        <v>570.88</v>
      </c>
      <c r="D152" s="15">
        <v>570.88</v>
      </c>
      <c r="E152" s="15">
        <v>570.88</v>
      </c>
      <c r="F152" s="15">
        <v>570.88</v>
      </c>
      <c r="G152" s="15">
        <v>570.88</v>
      </c>
      <c r="H152" s="15">
        <v>570.88</v>
      </c>
      <c r="I152" s="15">
        <v>570.88</v>
      </c>
      <c r="J152" s="15">
        <v>570.88</v>
      </c>
      <c r="K152" s="15">
        <v>570.88</v>
      </c>
      <c r="L152" s="15">
        <v>570.88</v>
      </c>
      <c r="M152" s="15">
        <v>570.88</v>
      </c>
      <c r="N152" s="15">
        <v>570.88</v>
      </c>
    </row>
    <row r="153" spans="1:14" x14ac:dyDescent="0.25">
      <c r="A153" s="10" t="s">
        <v>388</v>
      </c>
      <c r="B153" s="15">
        <v>51.2</v>
      </c>
      <c r="C153" s="15">
        <v>352</v>
      </c>
      <c r="D153" s="15">
        <v>352</v>
      </c>
      <c r="E153" s="15">
        <v>352</v>
      </c>
      <c r="F153" s="15">
        <v>352</v>
      </c>
      <c r="G153" s="15">
        <v>352</v>
      </c>
      <c r="H153" s="15">
        <v>352</v>
      </c>
      <c r="I153" s="15">
        <v>352</v>
      </c>
      <c r="J153" s="15">
        <v>387.13</v>
      </c>
      <c r="K153" s="15">
        <v>369.56</v>
      </c>
      <c r="L153" s="15">
        <v>369.56</v>
      </c>
      <c r="M153" s="15">
        <v>369.56</v>
      </c>
      <c r="N153" s="15">
        <v>338.77</v>
      </c>
    </row>
    <row r="154" spans="1:14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303.60000000000002</v>
      </c>
      <c r="G154" s="15">
        <v>396</v>
      </c>
      <c r="H154" s="15">
        <v>396</v>
      </c>
      <c r="I154" s="15">
        <v>396</v>
      </c>
      <c r="J154" s="15">
        <v>412.95</v>
      </c>
      <c r="K154" s="15">
        <v>404.47</v>
      </c>
      <c r="L154" s="15">
        <v>404.47</v>
      </c>
      <c r="M154" s="15">
        <v>404.47</v>
      </c>
      <c r="N154" s="15">
        <v>220.62</v>
      </c>
    </row>
    <row r="155" spans="1:14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570.88</v>
      </c>
      <c r="K155" s="15">
        <v>570.88</v>
      </c>
      <c r="L155" s="15">
        <v>570.88</v>
      </c>
      <c r="M155" s="15">
        <v>570.88</v>
      </c>
      <c r="N155" s="15">
        <v>570.88</v>
      </c>
    </row>
    <row r="156" spans="1:14" x14ac:dyDescent="0.25">
      <c r="A156" s="10" t="s">
        <v>394</v>
      </c>
      <c r="B156" s="15">
        <v>559.02</v>
      </c>
      <c r="C156" s="15">
        <v>559.02</v>
      </c>
      <c r="D156" s="15">
        <v>559.02</v>
      </c>
      <c r="E156" s="15">
        <v>559.02</v>
      </c>
      <c r="F156" s="15">
        <v>559.02</v>
      </c>
      <c r="G156" s="15">
        <v>559.02</v>
      </c>
      <c r="H156" s="15">
        <v>559.02</v>
      </c>
      <c r="I156" s="15">
        <v>559.02</v>
      </c>
      <c r="J156" s="15">
        <v>570.88</v>
      </c>
      <c r="K156" s="15">
        <v>570.88</v>
      </c>
      <c r="L156" s="15">
        <v>570.88</v>
      </c>
      <c r="M156" s="15">
        <v>948.49</v>
      </c>
      <c r="N156" s="15">
        <v>570.88</v>
      </c>
    </row>
    <row r="157" spans="1:14" x14ac:dyDescent="0.25">
      <c r="A157" s="10" t="s">
        <v>396</v>
      </c>
      <c r="B157" s="15">
        <v>400.75</v>
      </c>
      <c r="C157" s="15">
        <v>400.75</v>
      </c>
      <c r="D157" s="15">
        <v>480.9</v>
      </c>
      <c r="E157" s="15">
        <v>480.9</v>
      </c>
      <c r="F157" s="15">
        <v>1031.3699999999999</v>
      </c>
      <c r="G157" s="15">
        <v>31.09</v>
      </c>
      <c r="H157" s="15">
        <v>480.9</v>
      </c>
      <c r="I157" s="15">
        <v>480.9</v>
      </c>
      <c r="J157" s="15">
        <v>563.22</v>
      </c>
      <c r="K157" s="15">
        <v>522.05999999999995</v>
      </c>
      <c r="L157" s="15">
        <v>522.05999999999995</v>
      </c>
      <c r="M157" s="15">
        <v>522.05999999999995</v>
      </c>
      <c r="N157" s="15">
        <v>522.05999999999995</v>
      </c>
    </row>
    <row r="158" spans="1:14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340.56</v>
      </c>
      <c r="H158" s="15">
        <v>570.88</v>
      </c>
      <c r="I158" s="15">
        <v>570.88</v>
      </c>
      <c r="J158" s="15">
        <v>570.88</v>
      </c>
      <c r="K158" s="15">
        <v>570.88</v>
      </c>
      <c r="L158" s="15">
        <v>570.88</v>
      </c>
      <c r="M158" s="15">
        <v>570.88</v>
      </c>
      <c r="N158" s="15">
        <v>377.81</v>
      </c>
    </row>
    <row r="159" spans="1:14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570.88</v>
      </c>
      <c r="F159" s="15">
        <v>570.88</v>
      </c>
      <c r="G159" s="15">
        <v>570.88</v>
      </c>
      <c r="H159" s="15">
        <v>570.88</v>
      </c>
      <c r="I159" s="15">
        <v>570.88</v>
      </c>
      <c r="J159" s="15">
        <v>570.88</v>
      </c>
      <c r="K159" s="15">
        <v>570.88</v>
      </c>
      <c r="L159" s="15">
        <v>570.88</v>
      </c>
      <c r="M159" s="15">
        <v>570.88</v>
      </c>
      <c r="N159" s="15">
        <v>570.88</v>
      </c>
    </row>
    <row r="160" spans="1:14" x14ac:dyDescent="0.25">
      <c r="A160" s="10" t="s">
        <v>402</v>
      </c>
      <c r="B160" s="15">
        <v>0</v>
      </c>
      <c r="C160" s="15">
        <v>84</v>
      </c>
      <c r="D160" s="15">
        <v>495</v>
      </c>
      <c r="E160" s="15">
        <v>495</v>
      </c>
      <c r="F160" s="15">
        <v>24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60</v>
      </c>
    </row>
    <row r="161" spans="1:14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192</v>
      </c>
      <c r="G161" s="15">
        <v>440</v>
      </c>
      <c r="H161" s="15">
        <v>440</v>
      </c>
      <c r="I161" s="15">
        <v>440</v>
      </c>
      <c r="J161" s="15">
        <v>458.83</v>
      </c>
      <c r="K161" s="15">
        <v>449.42</v>
      </c>
      <c r="L161" s="15">
        <v>449.42</v>
      </c>
      <c r="M161" s="15">
        <v>449.42</v>
      </c>
      <c r="N161" s="15">
        <v>299.61</v>
      </c>
    </row>
    <row r="162" spans="1:14" x14ac:dyDescent="0.25">
      <c r="A162" s="10" t="s">
        <v>406</v>
      </c>
      <c r="B162" s="15">
        <v>330</v>
      </c>
      <c r="C162" s="15">
        <v>330</v>
      </c>
      <c r="D162" s="15">
        <v>330</v>
      </c>
      <c r="E162" s="15">
        <v>330</v>
      </c>
      <c r="F162" s="15">
        <v>330</v>
      </c>
      <c r="G162" s="15">
        <v>330</v>
      </c>
      <c r="H162" s="15">
        <v>330</v>
      </c>
      <c r="I162" s="15">
        <v>330</v>
      </c>
      <c r="J162" s="15">
        <v>372.37</v>
      </c>
      <c r="K162" s="15">
        <v>351.19</v>
      </c>
      <c r="L162" s="15">
        <v>351.19</v>
      </c>
      <c r="M162" s="15">
        <v>351.19</v>
      </c>
      <c r="N162" s="15">
        <v>351.19</v>
      </c>
    </row>
    <row r="163" spans="1:14" x14ac:dyDescent="0.25">
      <c r="A163" s="10" t="s">
        <v>408</v>
      </c>
      <c r="B163" s="15">
        <v>570.88</v>
      </c>
      <c r="C163" s="15">
        <v>570.88</v>
      </c>
      <c r="D163" s="15">
        <v>570.88</v>
      </c>
      <c r="E163" s="15">
        <v>570.88</v>
      </c>
      <c r="F163" s="15">
        <v>570.88</v>
      </c>
      <c r="G163" s="15">
        <v>570.88</v>
      </c>
      <c r="H163" s="15">
        <v>570.88</v>
      </c>
      <c r="I163" s="15">
        <v>570.88</v>
      </c>
      <c r="J163" s="15">
        <v>570.88</v>
      </c>
      <c r="K163" s="15">
        <v>570.88</v>
      </c>
      <c r="L163" s="15">
        <v>570.88</v>
      </c>
      <c r="M163" s="15">
        <v>570.88</v>
      </c>
      <c r="N163" s="15">
        <v>570.88</v>
      </c>
    </row>
    <row r="164" spans="1:14" x14ac:dyDescent="0.25">
      <c r="A164" s="10" t="s">
        <v>410</v>
      </c>
      <c r="B164" s="15">
        <v>0</v>
      </c>
      <c r="C164" s="15">
        <v>0</v>
      </c>
      <c r="D164" s="15">
        <v>473</v>
      </c>
      <c r="E164" s="15">
        <v>473</v>
      </c>
      <c r="F164" s="15">
        <v>473</v>
      </c>
      <c r="G164" s="15">
        <v>473</v>
      </c>
      <c r="H164" s="15">
        <v>473</v>
      </c>
      <c r="I164" s="15">
        <v>473</v>
      </c>
      <c r="J164" s="15">
        <v>506.77</v>
      </c>
      <c r="K164" s="15">
        <v>489.89</v>
      </c>
      <c r="L164" s="15">
        <v>489.89</v>
      </c>
      <c r="M164" s="15">
        <v>489.89</v>
      </c>
      <c r="N164" s="15">
        <v>408.24</v>
      </c>
    </row>
    <row r="165" spans="1:14" x14ac:dyDescent="0.25">
      <c r="A165" s="10" t="s">
        <v>412</v>
      </c>
      <c r="B165" s="15">
        <v>0</v>
      </c>
      <c r="C165" s="15">
        <v>0</v>
      </c>
      <c r="D165" s="15">
        <v>74.67</v>
      </c>
      <c r="E165" s="15">
        <v>570.88</v>
      </c>
      <c r="F165" s="15">
        <v>570.88</v>
      </c>
      <c r="G165" s="15">
        <v>570.88</v>
      </c>
      <c r="H165" s="15">
        <v>570.88</v>
      </c>
      <c r="I165" s="15">
        <v>570.88</v>
      </c>
      <c r="J165" s="15">
        <v>570.88</v>
      </c>
      <c r="K165" s="15">
        <v>570.88</v>
      </c>
      <c r="L165" s="15">
        <v>570.88</v>
      </c>
      <c r="M165" s="15">
        <v>570.88</v>
      </c>
      <c r="N165" s="15">
        <v>570.88</v>
      </c>
    </row>
    <row r="166" spans="1:14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207.9</v>
      </c>
      <c r="I166" s="15">
        <v>222.75</v>
      </c>
      <c r="J166" s="15">
        <v>225.91</v>
      </c>
      <c r="K166" s="15">
        <v>224.33</v>
      </c>
      <c r="L166" s="15">
        <v>224.33</v>
      </c>
      <c r="M166" s="15">
        <v>224.33</v>
      </c>
      <c r="N166" s="15">
        <v>99.7</v>
      </c>
    </row>
    <row r="167" spans="1:14" x14ac:dyDescent="0.25">
      <c r="A167" s="10" t="s">
        <v>416</v>
      </c>
      <c r="B167" s="15">
        <v>0</v>
      </c>
      <c r="C167" s="15">
        <v>84</v>
      </c>
      <c r="D167" s="15">
        <v>495</v>
      </c>
      <c r="E167" s="15">
        <v>495</v>
      </c>
      <c r="F167" s="15">
        <v>495</v>
      </c>
      <c r="G167" s="15">
        <v>495</v>
      </c>
      <c r="H167" s="15">
        <v>495</v>
      </c>
      <c r="I167" s="15">
        <v>495</v>
      </c>
      <c r="J167" s="15">
        <v>537.37</v>
      </c>
      <c r="K167" s="15">
        <v>516.19000000000005</v>
      </c>
      <c r="L167" s="15">
        <v>516.19000000000005</v>
      </c>
      <c r="M167" s="15">
        <v>516.19000000000005</v>
      </c>
      <c r="N167" s="15">
        <v>430.15</v>
      </c>
    </row>
    <row r="168" spans="1:14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352</v>
      </c>
      <c r="J168" s="15">
        <v>440</v>
      </c>
      <c r="K168" s="15">
        <v>440</v>
      </c>
      <c r="L168" s="15">
        <v>440</v>
      </c>
      <c r="M168" s="15">
        <v>440</v>
      </c>
      <c r="N168" s="15">
        <v>150</v>
      </c>
    </row>
    <row r="169" spans="1:14" x14ac:dyDescent="0.25">
      <c r="A169" s="10" t="s">
        <v>420</v>
      </c>
      <c r="B169" s="15">
        <v>575.12</v>
      </c>
      <c r="C169" s="15">
        <v>570.88</v>
      </c>
      <c r="D169" s="15">
        <v>570.88</v>
      </c>
      <c r="E169" s="15">
        <v>570.88</v>
      </c>
      <c r="F169" s="15">
        <v>570.88</v>
      </c>
      <c r="G169" s="15">
        <v>570.88</v>
      </c>
      <c r="H169" s="15">
        <v>570.88</v>
      </c>
      <c r="I169" s="15">
        <v>570.88</v>
      </c>
      <c r="J169" s="15">
        <v>22.08</v>
      </c>
      <c r="K169" s="15">
        <v>58.64</v>
      </c>
      <c r="L169" s="15">
        <v>0</v>
      </c>
      <c r="M169" s="15">
        <v>0</v>
      </c>
      <c r="N169" s="15">
        <v>608.71</v>
      </c>
    </row>
    <row r="170" spans="1:14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307.49</v>
      </c>
      <c r="I170" s="15">
        <v>329.45</v>
      </c>
      <c r="J170" s="15">
        <v>334.13</v>
      </c>
      <c r="K170" s="15">
        <v>331.79</v>
      </c>
      <c r="L170" s="15">
        <v>331.79</v>
      </c>
      <c r="M170" s="15">
        <v>331.79</v>
      </c>
      <c r="N170" s="15">
        <v>120.65</v>
      </c>
    </row>
    <row r="171" spans="1:14" x14ac:dyDescent="0.25">
      <c r="A171" s="10" t="s">
        <v>424</v>
      </c>
      <c r="B171" s="15">
        <v>570.88</v>
      </c>
      <c r="C171" s="15">
        <v>570.88</v>
      </c>
      <c r="D171" s="15">
        <v>570.88</v>
      </c>
      <c r="E171" s="15">
        <v>698.84</v>
      </c>
      <c r="F171" s="15">
        <v>442.92</v>
      </c>
      <c r="G171" s="15">
        <v>570.88</v>
      </c>
      <c r="H171" s="15">
        <v>570.88</v>
      </c>
      <c r="I171" s="15">
        <v>570.88</v>
      </c>
      <c r="J171" s="15">
        <v>570.88</v>
      </c>
      <c r="K171" s="15">
        <v>570.88</v>
      </c>
      <c r="L171" s="15">
        <v>570.88</v>
      </c>
      <c r="M171" s="15">
        <v>570.88</v>
      </c>
      <c r="N171" s="15">
        <v>570.88</v>
      </c>
    </row>
    <row r="172" spans="1:14" x14ac:dyDescent="0.25">
      <c r="A172" s="10" t="s">
        <v>426</v>
      </c>
      <c r="B172" s="15">
        <v>570.88</v>
      </c>
      <c r="C172" s="15">
        <v>570.88</v>
      </c>
      <c r="D172" s="15">
        <v>570.88</v>
      </c>
      <c r="E172" s="15">
        <v>570.88</v>
      </c>
      <c r="F172" s="15">
        <v>570.88</v>
      </c>
      <c r="G172" s="15">
        <v>1141.76</v>
      </c>
      <c r="H172" s="15">
        <v>0</v>
      </c>
      <c r="I172" s="15">
        <v>570.88</v>
      </c>
      <c r="J172" s="15">
        <v>570.88</v>
      </c>
      <c r="K172" s="15">
        <v>570.88</v>
      </c>
      <c r="L172" s="15">
        <v>570.88</v>
      </c>
      <c r="M172" s="15">
        <v>570.88</v>
      </c>
      <c r="N172" s="15">
        <v>570.88</v>
      </c>
    </row>
    <row r="173" spans="1:14" x14ac:dyDescent="0.25">
      <c r="A173" s="10" t="s">
        <v>428</v>
      </c>
      <c r="B173" s="15">
        <v>89.6</v>
      </c>
      <c r="C173" s="15">
        <v>96</v>
      </c>
      <c r="D173" s="15">
        <v>96</v>
      </c>
      <c r="E173" s="15">
        <v>96</v>
      </c>
      <c r="F173" s="15">
        <v>96</v>
      </c>
      <c r="G173" s="15">
        <v>96</v>
      </c>
      <c r="H173" s="15">
        <v>96</v>
      </c>
      <c r="I173" s="15">
        <v>96</v>
      </c>
      <c r="J173" s="15">
        <v>105.58</v>
      </c>
      <c r="K173" s="15">
        <v>185.2</v>
      </c>
      <c r="L173" s="15">
        <v>0</v>
      </c>
      <c r="M173" s="15">
        <v>0</v>
      </c>
      <c r="N173" s="15">
        <v>92.39</v>
      </c>
    </row>
    <row r="174" spans="1:14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225</v>
      </c>
      <c r="G174" s="15">
        <v>225</v>
      </c>
      <c r="H174" s="15">
        <v>225</v>
      </c>
      <c r="I174" s="15">
        <v>225</v>
      </c>
      <c r="J174" s="15">
        <v>286.77</v>
      </c>
      <c r="K174" s="15">
        <v>229.82</v>
      </c>
      <c r="L174" s="15">
        <v>229.82</v>
      </c>
      <c r="M174" s="15">
        <v>229.82</v>
      </c>
      <c r="N174" s="15">
        <v>153.21</v>
      </c>
    </row>
    <row r="175" spans="1:14" x14ac:dyDescent="0.25">
      <c r="A175" s="10" t="s">
        <v>432</v>
      </c>
      <c r="B175" s="15">
        <v>0</v>
      </c>
      <c r="C175" s="15">
        <v>144</v>
      </c>
      <c r="D175" s="15">
        <v>570.88</v>
      </c>
      <c r="E175" s="15">
        <v>570.88</v>
      </c>
      <c r="F175" s="15">
        <v>570.88</v>
      </c>
      <c r="G175" s="15">
        <v>570.88</v>
      </c>
      <c r="H175" s="15">
        <v>570.88</v>
      </c>
      <c r="I175" s="15">
        <v>570.88</v>
      </c>
      <c r="J175" s="15">
        <v>570.88</v>
      </c>
      <c r="K175" s="15">
        <v>570.88</v>
      </c>
      <c r="L175" s="15">
        <v>570.88</v>
      </c>
      <c r="M175" s="15">
        <v>570.88</v>
      </c>
      <c r="N175" s="15">
        <v>570.88</v>
      </c>
    </row>
    <row r="176" spans="1:14" x14ac:dyDescent="0.25">
      <c r="A176" s="10" t="s">
        <v>434</v>
      </c>
      <c r="B176" s="15">
        <v>150.33000000000001</v>
      </c>
      <c r="C176" s="15">
        <v>150.33000000000001</v>
      </c>
      <c r="D176" s="15">
        <v>150.33000000000001</v>
      </c>
      <c r="E176" s="15">
        <v>150.33000000000001</v>
      </c>
      <c r="F176" s="15">
        <v>150.33000000000001</v>
      </c>
      <c r="G176" s="15">
        <v>150.33000000000001</v>
      </c>
      <c r="H176" s="15">
        <v>150.33000000000001</v>
      </c>
      <c r="I176" s="15">
        <v>209.43</v>
      </c>
      <c r="J176" s="15">
        <v>165.1</v>
      </c>
      <c r="K176" s="15">
        <v>165.1</v>
      </c>
      <c r="L176" s="15">
        <v>330.21</v>
      </c>
      <c r="M176" s="15">
        <v>55.03</v>
      </c>
      <c r="N176" s="15">
        <v>165.1</v>
      </c>
    </row>
    <row r="177" spans="1:14" x14ac:dyDescent="0.25">
      <c r="A177" s="10" t="s">
        <v>436</v>
      </c>
      <c r="B177" s="15">
        <v>323.12</v>
      </c>
      <c r="C177" s="15">
        <v>323.12</v>
      </c>
      <c r="D177" s="15">
        <v>323.12</v>
      </c>
      <c r="E177" s="15">
        <v>689.32</v>
      </c>
      <c r="F177" s="15">
        <v>64.63</v>
      </c>
      <c r="G177" s="15">
        <v>323.12</v>
      </c>
      <c r="H177" s="15">
        <v>323.12</v>
      </c>
      <c r="I177" s="15">
        <v>323.12</v>
      </c>
      <c r="J177" s="15">
        <v>378.44</v>
      </c>
      <c r="K177" s="15">
        <v>350.78</v>
      </c>
      <c r="L177" s="15">
        <v>350.78</v>
      </c>
      <c r="M177" s="15">
        <v>350.78</v>
      </c>
      <c r="N177" s="15">
        <v>350.78</v>
      </c>
    </row>
    <row r="178" spans="1:14" x14ac:dyDescent="0.25">
      <c r="A178" s="10" t="s">
        <v>438</v>
      </c>
      <c r="B178" s="15">
        <v>151.80000000000001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15.33</v>
      </c>
    </row>
    <row r="179" spans="1:14" x14ac:dyDescent="0.25">
      <c r="A179" s="10" t="s">
        <v>440</v>
      </c>
      <c r="B179" s="15">
        <v>570.88</v>
      </c>
      <c r="C179" s="15">
        <v>570.88</v>
      </c>
      <c r="D179" s="15">
        <v>570.88</v>
      </c>
      <c r="E179" s="15">
        <v>570.88</v>
      </c>
      <c r="F179" s="15">
        <v>570.88</v>
      </c>
      <c r="G179" s="15">
        <v>570.88</v>
      </c>
      <c r="H179" s="15">
        <v>570.88</v>
      </c>
      <c r="I179" s="15">
        <v>570.88</v>
      </c>
      <c r="J179" s="15">
        <v>570.88</v>
      </c>
      <c r="K179" s="15">
        <v>570.88</v>
      </c>
      <c r="L179" s="15">
        <v>570.88</v>
      </c>
      <c r="M179" s="15">
        <v>570.88</v>
      </c>
      <c r="N179" s="15">
        <v>570.88</v>
      </c>
    </row>
    <row r="180" spans="1:14" x14ac:dyDescent="0.25">
      <c r="A180" s="10" t="s">
        <v>442</v>
      </c>
      <c r="B180" s="15">
        <v>0</v>
      </c>
      <c r="C180" s="15">
        <v>84</v>
      </c>
      <c r="D180" s="15">
        <v>495</v>
      </c>
      <c r="E180" s="15">
        <v>495</v>
      </c>
      <c r="F180" s="15">
        <v>495</v>
      </c>
      <c r="G180" s="15">
        <v>495</v>
      </c>
      <c r="H180" s="15">
        <v>495</v>
      </c>
      <c r="I180" s="15">
        <v>495</v>
      </c>
      <c r="J180" s="15">
        <v>537.37</v>
      </c>
      <c r="K180" s="15">
        <v>516.19000000000005</v>
      </c>
      <c r="L180" s="15">
        <v>516.19000000000005</v>
      </c>
      <c r="M180" s="15">
        <v>516.19000000000005</v>
      </c>
      <c r="N180" s="15">
        <v>430.15</v>
      </c>
    </row>
    <row r="181" spans="1:14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226.2</v>
      </c>
      <c r="K181" s="15">
        <v>286</v>
      </c>
      <c r="L181" s="15">
        <v>286</v>
      </c>
      <c r="M181" s="15">
        <v>286</v>
      </c>
      <c r="N181" s="15">
        <v>69.33</v>
      </c>
    </row>
    <row r="182" spans="1:14" x14ac:dyDescent="0.25">
      <c r="A182" s="10" t="s">
        <v>446</v>
      </c>
      <c r="B182" s="15">
        <v>207</v>
      </c>
      <c r="C182" s="15">
        <v>207</v>
      </c>
      <c r="D182" s="15">
        <v>207</v>
      </c>
      <c r="E182" s="15">
        <v>207</v>
      </c>
      <c r="F182" s="15">
        <v>207</v>
      </c>
      <c r="G182" s="15">
        <v>207</v>
      </c>
      <c r="H182" s="15">
        <v>207</v>
      </c>
      <c r="I182" s="15">
        <v>207</v>
      </c>
      <c r="J182" s="15">
        <v>285.49</v>
      </c>
      <c r="K182" s="15">
        <v>457.71</v>
      </c>
      <c r="L182" s="15">
        <v>0</v>
      </c>
      <c r="M182" s="15">
        <v>0</v>
      </c>
      <c r="N182" s="15">
        <v>201.93</v>
      </c>
    </row>
    <row r="183" spans="1:14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36</v>
      </c>
      <c r="G183" s="15">
        <v>120</v>
      </c>
      <c r="H183" s="15">
        <v>120</v>
      </c>
      <c r="I183" s="15">
        <v>120</v>
      </c>
      <c r="J183" s="15">
        <v>140.78</v>
      </c>
      <c r="K183" s="15">
        <v>122.57</v>
      </c>
      <c r="L183" s="15">
        <v>122.57</v>
      </c>
      <c r="M183" s="15">
        <v>122.57</v>
      </c>
      <c r="N183" s="15">
        <v>71.5</v>
      </c>
    </row>
    <row r="184" spans="1:14" x14ac:dyDescent="0.25">
      <c r="A184" s="10" t="s">
        <v>450</v>
      </c>
      <c r="B184" s="15">
        <v>180</v>
      </c>
      <c r="C184" s="15">
        <v>180</v>
      </c>
      <c r="D184" s="15">
        <v>180</v>
      </c>
      <c r="E184" s="15">
        <v>180</v>
      </c>
      <c r="F184" s="15">
        <v>180</v>
      </c>
      <c r="G184" s="15">
        <v>180</v>
      </c>
      <c r="H184" s="15">
        <v>180</v>
      </c>
      <c r="I184" s="15">
        <v>180</v>
      </c>
      <c r="J184" s="15">
        <v>210.82</v>
      </c>
      <c r="K184" s="15">
        <v>349.8</v>
      </c>
      <c r="L184" s="15">
        <v>349.8</v>
      </c>
      <c r="M184" s="15">
        <v>349.8</v>
      </c>
      <c r="N184" s="15">
        <v>349.8</v>
      </c>
    </row>
    <row r="185" spans="1:14" x14ac:dyDescent="0.25">
      <c r="A185" s="10" t="s">
        <v>452</v>
      </c>
      <c r="B185" s="15">
        <v>0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86.4</v>
      </c>
      <c r="K185" s="15">
        <v>162</v>
      </c>
      <c r="L185" s="15">
        <v>162</v>
      </c>
      <c r="M185" s="15">
        <v>162</v>
      </c>
      <c r="N185" s="15">
        <v>48</v>
      </c>
    </row>
    <row r="186" spans="1:14" x14ac:dyDescent="0.25">
      <c r="A186" s="10" t="s">
        <v>454</v>
      </c>
      <c r="B186" s="15">
        <v>440</v>
      </c>
      <c r="C186" s="15">
        <v>440</v>
      </c>
      <c r="D186" s="15">
        <v>440</v>
      </c>
      <c r="E186" s="15">
        <v>440</v>
      </c>
      <c r="F186" s="15">
        <v>440</v>
      </c>
      <c r="G186" s="15">
        <v>440</v>
      </c>
      <c r="H186" s="15">
        <v>440</v>
      </c>
      <c r="I186" s="15">
        <v>880</v>
      </c>
      <c r="J186" s="15">
        <v>179.77</v>
      </c>
      <c r="K186" s="15">
        <v>477.66</v>
      </c>
      <c r="L186" s="15">
        <v>477.66</v>
      </c>
      <c r="M186" s="15">
        <v>477.66</v>
      </c>
      <c r="N186" s="15">
        <v>477.66</v>
      </c>
    </row>
    <row r="187" spans="1:14" x14ac:dyDescent="0.25">
      <c r="A187" s="10" t="s">
        <v>456</v>
      </c>
      <c r="B187" s="15">
        <v>0</v>
      </c>
      <c r="C187" s="15">
        <v>89.6</v>
      </c>
      <c r="D187" s="15">
        <v>528</v>
      </c>
      <c r="E187" s="15">
        <v>528</v>
      </c>
      <c r="F187" s="15">
        <v>528</v>
      </c>
      <c r="G187" s="15">
        <v>528</v>
      </c>
      <c r="H187" s="15">
        <v>528</v>
      </c>
      <c r="I187" s="15">
        <v>528</v>
      </c>
      <c r="J187" s="15">
        <v>570.88</v>
      </c>
      <c r="K187" s="15">
        <v>550.6</v>
      </c>
      <c r="L187" s="15">
        <v>550.6</v>
      </c>
      <c r="M187" s="15">
        <v>550.6</v>
      </c>
      <c r="N187" s="15">
        <v>458.83</v>
      </c>
    </row>
    <row r="188" spans="1:14" x14ac:dyDescent="0.25">
      <c r="A188" s="10" t="s">
        <v>458</v>
      </c>
      <c r="B188" s="15">
        <v>0</v>
      </c>
      <c r="C188" s="15">
        <v>0</v>
      </c>
      <c r="D188" s="15">
        <v>440</v>
      </c>
      <c r="E188" s="15">
        <v>440</v>
      </c>
      <c r="F188" s="15">
        <v>440</v>
      </c>
      <c r="G188" s="15">
        <v>440</v>
      </c>
      <c r="H188" s="15">
        <v>440</v>
      </c>
      <c r="I188" s="15">
        <v>440</v>
      </c>
      <c r="J188" s="15">
        <v>471.42</v>
      </c>
      <c r="K188" s="15">
        <v>455.71</v>
      </c>
      <c r="L188" s="15">
        <v>455.71</v>
      </c>
      <c r="M188" s="15">
        <v>455.71</v>
      </c>
      <c r="N188" s="15">
        <v>379.76</v>
      </c>
    </row>
    <row r="189" spans="1:14" x14ac:dyDescent="0.25">
      <c r="A189" s="10" t="s">
        <v>460</v>
      </c>
      <c r="B189" s="15">
        <v>495</v>
      </c>
      <c r="C189" s="15">
        <v>495</v>
      </c>
      <c r="D189" s="15">
        <v>495</v>
      </c>
      <c r="E189" s="15">
        <v>495</v>
      </c>
      <c r="F189" s="15">
        <v>495</v>
      </c>
      <c r="G189" s="15">
        <v>495</v>
      </c>
      <c r="H189" s="15">
        <v>935</v>
      </c>
      <c r="I189" s="15">
        <v>130.88</v>
      </c>
      <c r="J189" s="15">
        <v>570.88</v>
      </c>
      <c r="K189" s="15">
        <v>537.37</v>
      </c>
      <c r="L189" s="15">
        <v>537.37</v>
      </c>
      <c r="M189" s="15">
        <v>537.37</v>
      </c>
      <c r="N189" s="15">
        <v>537.37</v>
      </c>
    </row>
    <row r="190" spans="1:14" x14ac:dyDescent="0.25">
      <c r="A190" s="10" t="s">
        <v>462</v>
      </c>
      <c r="B190" s="15">
        <v>362.37</v>
      </c>
      <c r="C190" s="15">
        <v>362.37</v>
      </c>
      <c r="D190" s="15">
        <v>565.22</v>
      </c>
      <c r="E190" s="15">
        <v>362.37</v>
      </c>
      <c r="F190" s="15">
        <v>570.88</v>
      </c>
      <c r="G190" s="15">
        <v>434.83</v>
      </c>
      <c r="H190" s="15">
        <v>434.83</v>
      </c>
      <c r="I190" s="15">
        <v>434.83</v>
      </c>
      <c r="J190" s="15">
        <v>509.27</v>
      </c>
      <c r="K190" s="15">
        <v>472.05</v>
      </c>
      <c r="L190" s="15">
        <v>472.05</v>
      </c>
      <c r="M190" s="15">
        <v>472.05</v>
      </c>
      <c r="N190" s="15">
        <v>472.05</v>
      </c>
    </row>
    <row r="191" spans="1:14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96</v>
      </c>
      <c r="M191" s="15">
        <v>120</v>
      </c>
      <c r="N191" s="15">
        <v>20</v>
      </c>
    </row>
    <row r="192" spans="1:14" x14ac:dyDescent="0.25">
      <c r="A192" s="10" t="s">
        <v>466</v>
      </c>
      <c r="B192" s="15">
        <v>193.2</v>
      </c>
      <c r="C192" s="15">
        <v>207</v>
      </c>
      <c r="D192" s="15">
        <v>207</v>
      </c>
      <c r="E192" s="15">
        <v>207</v>
      </c>
      <c r="F192" s="15">
        <v>207</v>
      </c>
      <c r="G192" s="15">
        <v>207</v>
      </c>
      <c r="H192" s="15">
        <v>207</v>
      </c>
      <c r="I192" s="15">
        <v>207</v>
      </c>
      <c r="J192" s="15">
        <v>227.66</v>
      </c>
      <c r="K192" s="15">
        <v>217.33</v>
      </c>
      <c r="L192" s="15">
        <v>217.33</v>
      </c>
      <c r="M192" s="15">
        <v>217.33</v>
      </c>
      <c r="N192" s="15">
        <v>217.33</v>
      </c>
    </row>
    <row r="193" spans="1:14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52</v>
      </c>
      <c r="J193" s="15">
        <v>120</v>
      </c>
      <c r="K193" s="15">
        <v>120</v>
      </c>
      <c r="L193" s="15">
        <v>120</v>
      </c>
      <c r="M193" s="15">
        <v>120</v>
      </c>
      <c r="N193" s="15">
        <v>40</v>
      </c>
    </row>
    <row r="194" spans="1:14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</row>
    <row r="195" spans="1:14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31.47</v>
      </c>
      <c r="J195" s="15">
        <v>0</v>
      </c>
      <c r="K195" s="15">
        <v>0</v>
      </c>
      <c r="L195" s="15">
        <v>0</v>
      </c>
      <c r="M195" s="15">
        <v>0</v>
      </c>
      <c r="N195" s="15">
        <v>4.63</v>
      </c>
    </row>
    <row r="196" spans="1:14" x14ac:dyDescent="0.25">
      <c r="A196" s="10" t="s">
        <v>474</v>
      </c>
      <c r="B196" s="15">
        <v>188.84</v>
      </c>
      <c r="C196" s="15">
        <v>188.84</v>
      </c>
      <c r="D196" s="15">
        <v>188.84</v>
      </c>
      <c r="E196" s="15">
        <v>188.84</v>
      </c>
      <c r="F196" s="15">
        <v>496.58</v>
      </c>
      <c r="G196" s="15">
        <v>0</v>
      </c>
      <c r="H196" s="15">
        <v>188.84</v>
      </c>
      <c r="I196" s="15">
        <v>188.84</v>
      </c>
      <c r="J196" s="15">
        <v>221.17</v>
      </c>
      <c r="K196" s="15">
        <v>205</v>
      </c>
      <c r="L196" s="15">
        <v>205</v>
      </c>
      <c r="M196" s="15">
        <v>205</v>
      </c>
      <c r="N196" s="15">
        <v>205</v>
      </c>
    </row>
    <row r="197" spans="1:14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570.88</v>
      </c>
      <c r="N197" s="15">
        <v>80</v>
      </c>
    </row>
    <row r="198" spans="1:14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48</v>
      </c>
      <c r="F198" s="15">
        <v>330</v>
      </c>
      <c r="G198" s="15">
        <v>330</v>
      </c>
      <c r="H198" s="15">
        <v>330</v>
      </c>
      <c r="I198" s="15">
        <v>330</v>
      </c>
      <c r="J198" s="15">
        <v>348.81</v>
      </c>
      <c r="K198" s="15">
        <v>339.41</v>
      </c>
      <c r="L198" s="15">
        <v>339.41</v>
      </c>
      <c r="M198" s="15">
        <v>339.41</v>
      </c>
      <c r="N198" s="15">
        <v>185.13</v>
      </c>
    </row>
    <row r="199" spans="1:14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570.88</v>
      </c>
      <c r="H199" s="15">
        <v>570.88</v>
      </c>
      <c r="I199" s="15">
        <v>570.88</v>
      </c>
      <c r="J199" s="15">
        <v>570.88</v>
      </c>
      <c r="K199" s="15">
        <v>570.88</v>
      </c>
      <c r="L199" s="15">
        <v>570.88</v>
      </c>
      <c r="M199" s="15">
        <v>570.88</v>
      </c>
      <c r="N199" s="15">
        <v>570.88</v>
      </c>
    </row>
    <row r="200" spans="1:14" x14ac:dyDescent="0.25">
      <c r="A200" s="10" t="s">
        <v>482</v>
      </c>
      <c r="B200" s="15">
        <v>570.88</v>
      </c>
      <c r="C200" s="15">
        <v>570.88</v>
      </c>
      <c r="D200" s="15">
        <v>570.88</v>
      </c>
      <c r="E200" s="15">
        <v>570.88</v>
      </c>
      <c r="F200" s="15">
        <v>570.88</v>
      </c>
      <c r="G200" s="15">
        <v>570.88</v>
      </c>
      <c r="H200" s="15">
        <v>570.88</v>
      </c>
      <c r="I200" s="15">
        <v>570.88</v>
      </c>
      <c r="J200" s="15">
        <v>570.88</v>
      </c>
      <c r="K200" s="15">
        <v>570.88</v>
      </c>
      <c r="L200" s="15">
        <v>570.88</v>
      </c>
      <c r="M200" s="15">
        <v>0</v>
      </c>
      <c r="N200" s="15">
        <v>570.88</v>
      </c>
    </row>
    <row r="201" spans="1:14" x14ac:dyDescent="0.25">
      <c r="A201" s="10" t="s">
        <v>484</v>
      </c>
      <c r="B201" s="15">
        <v>570.88</v>
      </c>
      <c r="C201" s="15">
        <v>570.88</v>
      </c>
      <c r="D201" s="15">
        <v>570.88</v>
      </c>
      <c r="E201" s="15">
        <v>570.88</v>
      </c>
      <c r="F201" s="15">
        <v>570.88</v>
      </c>
      <c r="G201" s="15">
        <v>570.88</v>
      </c>
      <c r="H201" s="15">
        <v>570.88</v>
      </c>
      <c r="I201" s="15">
        <v>570.88</v>
      </c>
      <c r="J201" s="15">
        <v>570.88</v>
      </c>
      <c r="K201" s="15">
        <v>570.88</v>
      </c>
      <c r="L201" s="15">
        <v>570.88</v>
      </c>
      <c r="M201" s="15">
        <v>570.88</v>
      </c>
      <c r="N201" s="15">
        <v>570.88</v>
      </c>
    </row>
    <row r="202" spans="1:14" x14ac:dyDescent="0.25">
      <c r="A202" s="10" t="s">
        <v>486</v>
      </c>
      <c r="B202" s="15">
        <v>570.88</v>
      </c>
      <c r="C202" s="15">
        <v>570.88</v>
      </c>
      <c r="D202" s="15">
        <v>570.88</v>
      </c>
      <c r="E202" s="15">
        <v>570.88</v>
      </c>
      <c r="F202" s="15">
        <v>570.88</v>
      </c>
      <c r="G202" s="15">
        <v>570.88</v>
      </c>
      <c r="H202" s="15">
        <v>570.88</v>
      </c>
      <c r="I202" s="15">
        <v>570.88</v>
      </c>
      <c r="J202" s="15">
        <v>570.88</v>
      </c>
      <c r="K202" s="15">
        <v>570.88</v>
      </c>
      <c r="L202" s="15">
        <v>570.88</v>
      </c>
      <c r="M202" s="15">
        <v>570.88</v>
      </c>
      <c r="N202" s="15">
        <v>570.88</v>
      </c>
    </row>
    <row r="203" spans="1:14" x14ac:dyDescent="0.25">
      <c r="A203" s="10" t="s">
        <v>488</v>
      </c>
      <c r="B203" s="15">
        <v>570.88</v>
      </c>
      <c r="C203" s="15">
        <v>570.88</v>
      </c>
      <c r="D203" s="15">
        <v>570.88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157.43</v>
      </c>
    </row>
    <row r="204" spans="1:14" x14ac:dyDescent="0.25">
      <c r="A204" s="10" t="s">
        <v>490</v>
      </c>
      <c r="B204" s="15">
        <v>421.93</v>
      </c>
      <c r="C204" s="15">
        <v>421.93</v>
      </c>
      <c r="D204" s="15">
        <v>421.93</v>
      </c>
      <c r="E204" s="15">
        <v>421.93</v>
      </c>
      <c r="F204" s="15">
        <v>426.03</v>
      </c>
      <c r="G204" s="15">
        <v>426.03</v>
      </c>
      <c r="H204" s="15">
        <v>426.03</v>
      </c>
      <c r="I204" s="15">
        <v>570.88</v>
      </c>
      <c r="J204" s="15">
        <v>467.91</v>
      </c>
      <c r="K204" s="15">
        <v>467.91</v>
      </c>
      <c r="L204" s="15">
        <v>467.91</v>
      </c>
      <c r="M204" s="15">
        <v>467.91</v>
      </c>
      <c r="N204" s="15">
        <v>467.91</v>
      </c>
    </row>
    <row r="205" spans="1:14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120</v>
      </c>
      <c r="H205" s="15">
        <v>225</v>
      </c>
      <c r="I205" s="15">
        <v>225</v>
      </c>
      <c r="J205" s="15">
        <v>231.44</v>
      </c>
      <c r="K205" s="15">
        <v>228.22</v>
      </c>
      <c r="L205" s="15">
        <v>228.22</v>
      </c>
      <c r="M205" s="15">
        <v>228.22</v>
      </c>
      <c r="N205" s="15">
        <v>118.34</v>
      </c>
    </row>
    <row r="206" spans="1:14" x14ac:dyDescent="0.25">
      <c r="A206" s="10" t="s">
        <v>494</v>
      </c>
      <c r="B206" s="15">
        <v>361.74</v>
      </c>
      <c r="C206" s="15">
        <v>361.74</v>
      </c>
      <c r="D206" s="15">
        <v>361.74</v>
      </c>
      <c r="E206" s="15">
        <v>361.74</v>
      </c>
      <c r="F206" s="15">
        <v>361.74</v>
      </c>
      <c r="G206" s="15">
        <v>844.06</v>
      </c>
      <c r="H206" s="15">
        <v>0</v>
      </c>
      <c r="I206" s="15">
        <v>527.4</v>
      </c>
      <c r="J206" s="15">
        <v>401.15</v>
      </c>
      <c r="K206" s="15">
        <v>401.15</v>
      </c>
      <c r="L206" s="15">
        <v>401.15</v>
      </c>
      <c r="M206" s="15">
        <v>401.15</v>
      </c>
      <c r="N206" s="15">
        <v>401.15</v>
      </c>
    </row>
    <row r="207" spans="1:14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570.88</v>
      </c>
      <c r="H207" s="15">
        <v>570.88</v>
      </c>
      <c r="I207" s="15">
        <v>570.88</v>
      </c>
      <c r="J207" s="15">
        <v>570.88</v>
      </c>
      <c r="K207" s="15">
        <v>570.88</v>
      </c>
      <c r="L207" s="15">
        <v>570.88</v>
      </c>
      <c r="M207" s="15">
        <v>570.88</v>
      </c>
      <c r="N207" s="15">
        <v>359.92</v>
      </c>
    </row>
    <row r="208" spans="1:14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570.88</v>
      </c>
      <c r="H208" s="15">
        <v>570.88</v>
      </c>
      <c r="I208" s="15">
        <v>570.88</v>
      </c>
      <c r="J208" s="15">
        <v>534.61</v>
      </c>
      <c r="K208" s="15">
        <v>570.88</v>
      </c>
      <c r="L208" s="15">
        <v>570.88</v>
      </c>
      <c r="M208" s="15">
        <v>570.88</v>
      </c>
      <c r="N208" s="15">
        <v>399.42</v>
      </c>
    </row>
    <row r="209" spans="1:14" x14ac:dyDescent="0.25">
      <c r="A209" s="10" t="s">
        <v>500</v>
      </c>
      <c r="B209" s="15">
        <v>570.88</v>
      </c>
      <c r="C209" s="15">
        <v>570.88</v>
      </c>
      <c r="D209" s="15">
        <v>570.88</v>
      </c>
      <c r="E209" s="15">
        <v>570.88</v>
      </c>
      <c r="F209" s="15">
        <v>570.88</v>
      </c>
      <c r="G209" s="15">
        <v>570.88</v>
      </c>
      <c r="H209" s="15">
        <v>570.88</v>
      </c>
      <c r="I209" s="15">
        <v>570.88</v>
      </c>
      <c r="J209" s="15">
        <v>570.88</v>
      </c>
      <c r="K209" s="15">
        <v>570.88</v>
      </c>
      <c r="L209" s="15">
        <v>570.88</v>
      </c>
      <c r="M209" s="15">
        <v>1141.76</v>
      </c>
      <c r="N209" s="15">
        <v>570.88</v>
      </c>
    </row>
    <row r="210" spans="1:14" x14ac:dyDescent="0.25">
      <c r="A210" s="10" t="s">
        <v>502</v>
      </c>
      <c r="B210" s="15">
        <v>550</v>
      </c>
      <c r="C210" s="15">
        <v>550</v>
      </c>
      <c r="D210" s="15">
        <v>106.67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66.67</v>
      </c>
    </row>
    <row r="211" spans="1:14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503.79</v>
      </c>
      <c r="I211" s="15">
        <v>539.77</v>
      </c>
      <c r="J211" s="15">
        <v>547.42999999999995</v>
      </c>
      <c r="K211" s="15">
        <v>543.6</v>
      </c>
      <c r="L211" s="15">
        <v>543.6</v>
      </c>
      <c r="M211" s="15">
        <v>543.6</v>
      </c>
      <c r="N211" s="15">
        <v>222.38</v>
      </c>
    </row>
    <row r="212" spans="1:14" x14ac:dyDescent="0.25">
      <c r="A212" s="10" t="s">
        <v>506</v>
      </c>
      <c r="B212" s="15">
        <v>440</v>
      </c>
      <c r="C212" s="15">
        <v>440</v>
      </c>
      <c r="D212" s="15">
        <v>440</v>
      </c>
      <c r="E212" s="15">
        <v>440</v>
      </c>
      <c r="F212" s="15">
        <v>440</v>
      </c>
      <c r="G212" s="15">
        <v>440</v>
      </c>
      <c r="H212" s="15">
        <v>570.88</v>
      </c>
      <c r="I212" s="15">
        <v>0</v>
      </c>
      <c r="J212" s="15">
        <v>0</v>
      </c>
      <c r="K212" s="15">
        <v>7.61</v>
      </c>
      <c r="L212" s="15">
        <v>0</v>
      </c>
      <c r="M212" s="15">
        <v>0</v>
      </c>
      <c r="N212" s="15">
        <v>223.31</v>
      </c>
    </row>
    <row r="213" spans="1:14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570.88</v>
      </c>
      <c r="K213" s="15">
        <v>570.88</v>
      </c>
      <c r="L213" s="15">
        <v>570.88</v>
      </c>
      <c r="M213" s="15">
        <v>570.88</v>
      </c>
      <c r="N213" s="15">
        <v>168</v>
      </c>
    </row>
    <row r="214" spans="1:14" x14ac:dyDescent="0.25">
      <c r="A214" s="10" t="s">
        <v>510</v>
      </c>
      <c r="B214" s="15">
        <v>570.88</v>
      </c>
      <c r="C214" s="15">
        <v>570.88</v>
      </c>
      <c r="D214" s="15">
        <v>570.88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303.64</v>
      </c>
    </row>
    <row r="215" spans="1:14" x14ac:dyDescent="0.25">
      <c r="A215" s="10" t="s">
        <v>512</v>
      </c>
      <c r="B215" s="15">
        <v>570.88</v>
      </c>
      <c r="C215" s="15">
        <v>570.88</v>
      </c>
      <c r="D215" s="15">
        <v>570.88</v>
      </c>
      <c r="E215" s="15">
        <v>570.88</v>
      </c>
      <c r="F215" s="15">
        <v>570.88</v>
      </c>
      <c r="G215" s="15">
        <v>570.88</v>
      </c>
      <c r="H215" s="15">
        <v>570.88</v>
      </c>
      <c r="I215" s="15">
        <v>570.88</v>
      </c>
      <c r="J215" s="15">
        <v>570.88</v>
      </c>
      <c r="K215" s="15">
        <v>570.88</v>
      </c>
      <c r="L215" s="15">
        <v>570.88</v>
      </c>
      <c r="M215" s="15">
        <v>570.88</v>
      </c>
      <c r="N215" s="15">
        <v>570.88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8"/>
  <dimension ref="A1:N215"/>
  <sheetViews>
    <sheetView workbookViewId="0">
      <selection activeCell="B2" sqref="B2:N2"/>
    </sheetView>
  </sheetViews>
  <sheetFormatPr defaultRowHeight="15" x14ac:dyDescent="0.25"/>
  <cols>
    <col min="1" max="1" width="11.875" style="10" bestFit="1" customWidth="1"/>
    <col min="2" max="14" width="11.625" style="15" customWidth="1"/>
  </cols>
  <sheetData>
    <row r="1" spans="1:14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1110152,59</v>
      </c>
      <c r="C2" s="14" t="str">
        <f>CONCATENATE("FEVEREIRO",CHAR(10),"TOTAL: ",ROUND(SUM(C3:C1048576),2))</f>
        <v>FEVEREIRO
TOTAL: 1170226,36</v>
      </c>
      <c r="D2" s="14" t="str">
        <f>CONCATENATE("MARÇO",CHAR(10),"TOTAL: ",ROUND(SUM(D3:D1048576),2))</f>
        <v>MARÇO
TOTAL: 2414091,92</v>
      </c>
      <c r="E2" s="14" t="str">
        <f>CONCATENATE("ABRIL",CHAR(10),"TOTAL: ",ROUND(SUM(E3:E1048576),2))</f>
        <v>ABRIL
TOTAL: 1219690,33</v>
      </c>
      <c r="F2" s="14" t="str">
        <f>CONCATENATE("MAIO",CHAR(10),"TOTAL: ",ROUND(SUM(F3:F1048576),2))</f>
        <v>MAIO
TOTAL: 1266201,41</v>
      </c>
      <c r="G2" s="14" t="str">
        <f>CONCATENATE("JUNHO",CHAR(10),"TOTAL: ",ROUND(SUM(G3:G1048576),2))</f>
        <v>JUNHO
TOTAL: 1371443,14</v>
      </c>
      <c r="H2" s="14" t="str">
        <f>CONCATENATE("JULHO",CHAR(10),"TOTAL: ",ROUND(SUM(H3:H1048576),2))</f>
        <v>JULHO
TOTAL: 1398634,89</v>
      </c>
      <c r="I2" s="14" t="str">
        <f>CONCATENATE("AGOSTO",CHAR(10),"TOTAL: ",ROUND(SUM(I3:I1048576),2))</f>
        <v>AGOSTO
TOTAL: 1404462,53</v>
      </c>
      <c r="J2" s="14" t="str">
        <f>CONCATENATE("SETEMBRO",CHAR(10),"TOTAL: ",ROUND(SUM(J3:J1048576),2))</f>
        <v>SETEMBRO
TOTAL: 1567683,78</v>
      </c>
      <c r="K2" s="14" t="str">
        <f>CONCATENATE("OUTUBRO",CHAR(10),"TOTAL: ",ROUND(SUM(K3:K1048576),2))</f>
        <v>OUTUBRO
TOTAL: 1502869,93</v>
      </c>
      <c r="L2" s="14" t="str">
        <f>CONCATENATE("NOVEMBRO",CHAR(10),"TOTAL: ",ROUND(SUM(L3:L1048576),2))</f>
        <v>NOVEMBRO
TOTAL: 1510366,77</v>
      </c>
      <c r="M2" s="14" t="str">
        <f>CONCATENATE("DEZEMBRO",CHAR(10),"TOTAL: ",ROUND(SUM(M3:M1048576),2))</f>
        <v>DEZEMBRO
TOTAL: 1608501,39</v>
      </c>
      <c r="N2" s="14" t="str">
        <f>CONCATENATE("DEC. TERCEIRO",CHAR(10),"TOTAL: ",ROUND(SUM(N3:N1048576),2))</f>
        <v>DEC. TERCEIRO
TOTAL: 1394633,11</v>
      </c>
    </row>
    <row r="3" spans="1:14" x14ac:dyDescent="0.25">
      <c r="A3" s="10" t="s">
        <v>88</v>
      </c>
      <c r="B3" s="15">
        <v>5000</v>
      </c>
      <c r="C3" s="15">
        <v>5000</v>
      </c>
      <c r="D3" s="15">
        <v>5000</v>
      </c>
      <c r="E3" s="15">
        <v>5000</v>
      </c>
      <c r="F3" s="15">
        <v>5000</v>
      </c>
      <c r="G3" s="15">
        <v>5000</v>
      </c>
      <c r="H3" s="15">
        <v>5000</v>
      </c>
      <c r="I3" s="15">
        <v>5000</v>
      </c>
      <c r="J3" s="15">
        <v>5642</v>
      </c>
      <c r="K3" s="15">
        <v>5321</v>
      </c>
      <c r="L3" s="15">
        <v>5321</v>
      </c>
      <c r="M3" s="15">
        <v>10050.77</v>
      </c>
      <c r="N3" s="15">
        <v>5321</v>
      </c>
    </row>
    <row r="4" spans="1:14" x14ac:dyDescent="0.25">
      <c r="A4" s="10" t="s">
        <v>90</v>
      </c>
      <c r="B4" s="15">
        <v>6417.2</v>
      </c>
      <c r="C4" s="15">
        <v>6417.2</v>
      </c>
      <c r="D4" s="15">
        <v>6417.2</v>
      </c>
      <c r="E4" s="15">
        <v>6417.2</v>
      </c>
      <c r="F4" s="15">
        <v>6417.2</v>
      </c>
      <c r="G4" s="15">
        <v>6417.2</v>
      </c>
      <c r="H4" s="15">
        <v>6417.2</v>
      </c>
      <c r="I4" s="15">
        <v>6417.2</v>
      </c>
      <c r="J4" s="15">
        <v>7515.82</v>
      </c>
      <c r="K4" s="15">
        <v>6966.51</v>
      </c>
      <c r="L4" s="15">
        <v>6966.51</v>
      </c>
      <c r="M4" s="15">
        <v>8514.6200000000008</v>
      </c>
      <c r="N4" s="15">
        <v>6966.51</v>
      </c>
    </row>
    <row r="5" spans="1:14" x14ac:dyDescent="0.25">
      <c r="A5" s="10" t="s">
        <v>92</v>
      </c>
      <c r="B5" s="15">
        <v>0</v>
      </c>
      <c r="C5" s="15">
        <v>1250</v>
      </c>
      <c r="D5" s="15">
        <v>2500</v>
      </c>
      <c r="E5" s="15">
        <v>2500</v>
      </c>
      <c r="F5" s="15">
        <v>2500</v>
      </c>
      <c r="G5" s="15">
        <v>916.67</v>
      </c>
      <c r="H5" s="15">
        <v>0</v>
      </c>
      <c r="I5" s="15">
        <v>0</v>
      </c>
      <c r="J5" s="15">
        <v>1303.5</v>
      </c>
      <c r="K5" s="15">
        <v>2607</v>
      </c>
      <c r="L5" s="15">
        <v>2607</v>
      </c>
      <c r="M5" s="15">
        <v>2607</v>
      </c>
      <c r="N5" s="15">
        <v>1738</v>
      </c>
    </row>
    <row r="6" spans="1:14" x14ac:dyDescent="0.25">
      <c r="A6" s="10" t="s">
        <v>94</v>
      </c>
      <c r="B6" s="15">
        <v>3500</v>
      </c>
      <c r="C6" s="15">
        <v>3500</v>
      </c>
      <c r="D6" s="15">
        <v>3500</v>
      </c>
      <c r="E6" s="15">
        <v>3500</v>
      </c>
      <c r="F6" s="15">
        <v>3500</v>
      </c>
      <c r="G6" s="15">
        <v>3500</v>
      </c>
      <c r="H6" s="15">
        <v>3500</v>
      </c>
      <c r="I6" s="15">
        <v>3500</v>
      </c>
      <c r="J6" s="15">
        <v>3999.1</v>
      </c>
      <c r="K6" s="15">
        <v>3749.55</v>
      </c>
      <c r="L6" s="15">
        <v>3749.55</v>
      </c>
      <c r="M6" s="15">
        <v>3749.55</v>
      </c>
      <c r="N6" s="15">
        <v>3749.55</v>
      </c>
    </row>
    <row r="7" spans="1:14" x14ac:dyDescent="0.25">
      <c r="A7" s="10" t="s">
        <v>96</v>
      </c>
      <c r="B7" s="15">
        <v>4758.6000000000004</v>
      </c>
      <c r="C7" s="15">
        <v>4804.8</v>
      </c>
      <c r="D7" s="15">
        <v>4804.8</v>
      </c>
      <c r="E7" s="15">
        <v>4804.8</v>
      </c>
      <c r="F7" s="15">
        <v>4804.8</v>
      </c>
      <c r="G7" s="15">
        <v>4804.8</v>
      </c>
      <c r="H7" s="15">
        <v>4804.8</v>
      </c>
      <c r="I7" s="15">
        <v>6694.08</v>
      </c>
      <c r="J7" s="15">
        <v>5277.12</v>
      </c>
      <c r="K7" s="15">
        <v>5277.12</v>
      </c>
      <c r="L7" s="15">
        <v>5277.12</v>
      </c>
      <c r="M7" s="15">
        <v>7681.14</v>
      </c>
      <c r="N7" s="15">
        <v>5277.12</v>
      </c>
    </row>
    <row r="8" spans="1:14" x14ac:dyDescent="0.25">
      <c r="A8" s="10" t="s">
        <v>98</v>
      </c>
      <c r="B8" s="15">
        <v>3771.14</v>
      </c>
      <c r="C8" s="15">
        <v>3771.14</v>
      </c>
      <c r="D8" s="15">
        <v>3771.14</v>
      </c>
      <c r="E8" s="15">
        <v>3771.14</v>
      </c>
      <c r="F8" s="15">
        <v>3771.14</v>
      </c>
      <c r="G8" s="15">
        <v>3771.14</v>
      </c>
      <c r="H8" s="15">
        <v>1885.57</v>
      </c>
      <c r="I8" s="15">
        <v>0</v>
      </c>
      <c r="J8" s="15">
        <v>926.73</v>
      </c>
      <c r="K8" s="15">
        <v>0</v>
      </c>
      <c r="L8" s="15">
        <v>0</v>
      </c>
      <c r="M8" s="15">
        <v>0</v>
      </c>
      <c r="N8" s="15">
        <v>2416.0700000000002</v>
      </c>
    </row>
    <row r="9" spans="1:14" x14ac:dyDescent="0.25">
      <c r="A9" s="10" t="s">
        <v>100</v>
      </c>
      <c r="B9" s="15">
        <v>5396.37</v>
      </c>
      <c r="C9" s="15">
        <v>5396.37</v>
      </c>
      <c r="D9" s="15">
        <v>5396.37</v>
      </c>
      <c r="E9" s="15">
        <v>5396.37</v>
      </c>
      <c r="F9" s="15">
        <v>5396.37</v>
      </c>
      <c r="G9" s="15">
        <v>5396.37</v>
      </c>
      <c r="H9" s="15">
        <v>5396.37</v>
      </c>
      <c r="I9" s="15">
        <v>7518.21</v>
      </c>
      <c r="J9" s="15">
        <v>5984.94</v>
      </c>
      <c r="K9" s="15">
        <v>5984.94</v>
      </c>
      <c r="L9" s="15">
        <v>11969.88</v>
      </c>
      <c r="M9" s="15">
        <v>1994.98</v>
      </c>
      <c r="N9" s="15">
        <v>5984.94</v>
      </c>
    </row>
    <row r="10" spans="1:14" x14ac:dyDescent="0.25">
      <c r="A10" s="10" t="s">
        <v>102</v>
      </c>
      <c r="B10" s="15">
        <v>0</v>
      </c>
      <c r="C10" s="15">
        <v>0</v>
      </c>
      <c r="D10" s="15">
        <v>0</v>
      </c>
      <c r="E10" s="15">
        <v>2400</v>
      </c>
      <c r="F10" s="15">
        <v>3000</v>
      </c>
      <c r="G10" s="15">
        <v>3000</v>
      </c>
      <c r="H10" s="15">
        <v>3000</v>
      </c>
      <c r="I10" s="15">
        <v>3000</v>
      </c>
      <c r="J10" s="15">
        <v>3171</v>
      </c>
      <c r="K10" s="15">
        <v>3085.5</v>
      </c>
      <c r="L10" s="15">
        <v>3085.5</v>
      </c>
      <c r="M10" s="15">
        <v>3085.5</v>
      </c>
      <c r="N10" s="15">
        <v>2314.13</v>
      </c>
    </row>
    <row r="11" spans="1:14" x14ac:dyDescent="0.25">
      <c r="A11" s="10" t="s">
        <v>104</v>
      </c>
      <c r="B11" s="15">
        <v>14295.69</v>
      </c>
      <c r="C11" s="15">
        <v>7343.68</v>
      </c>
      <c r="D11" s="15">
        <v>7343.68</v>
      </c>
      <c r="E11" s="15">
        <v>7343.68</v>
      </c>
      <c r="F11" s="15">
        <v>7343.68</v>
      </c>
      <c r="G11" s="15">
        <v>13871.4</v>
      </c>
      <c r="H11" s="15">
        <v>2515.89</v>
      </c>
      <c r="I11" s="15">
        <v>7343.68</v>
      </c>
      <c r="J11" s="15">
        <v>8603.4599999999991</v>
      </c>
      <c r="K11" s="15">
        <v>7973.57</v>
      </c>
      <c r="L11" s="15">
        <v>7973.57</v>
      </c>
      <c r="M11" s="15">
        <v>7973.57</v>
      </c>
      <c r="N11" s="15">
        <v>7973.57</v>
      </c>
    </row>
    <row r="12" spans="1:14" x14ac:dyDescent="0.25">
      <c r="A12" s="10" t="s">
        <v>106</v>
      </c>
      <c r="B12" s="15">
        <v>8366.4500000000007</v>
      </c>
      <c r="C12" s="15">
        <v>8366.4500000000007</v>
      </c>
      <c r="D12" s="15">
        <v>15803.29</v>
      </c>
      <c r="E12" s="15">
        <v>2822.82</v>
      </c>
      <c r="F12" s="15">
        <v>8366.4500000000007</v>
      </c>
      <c r="G12" s="15">
        <v>8366.4500000000007</v>
      </c>
      <c r="H12" s="15">
        <v>8366.4500000000007</v>
      </c>
      <c r="I12" s="15">
        <v>8366.4500000000007</v>
      </c>
      <c r="J12" s="15">
        <v>9800.0499999999993</v>
      </c>
      <c r="K12" s="15">
        <v>9083.25</v>
      </c>
      <c r="L12" s="15">
        <v>9083.25</v>
      </c>
      <c r="M12" s="15">
        <v>9083.25</v>
      </c>
      <c r="N12" s="15">
        <v>9083.25</v>
      </c>
    </row>
    <row r="13" spans="1:14" x14ac:dyDescent="0.25">
      <c r="A13" s="10" t="s">
        <v>108</v>
      </c>
      <c r="B13" s="15">
        <v>0</v>
      </c>
      <c r="C13" s="15">
        <v>0</v>
      </c>
      <c r="D13" s="15">
        <v>0</v>
      </c>
      <c r="E13" s="15">
        <v>2333.33</v>
      </c>
      <c r="F13" s="15">
        <v>3500</v>
      </c>
      <c r="G13" s="15">
        <v>3500</v>
      </c>
      <c r="H13" s="15">
        <v>3500</v>
      </c>
      <c r="I13" s="15">
        <v>3500</v>
      </c>
      <c r="J13" s="15">
        <v>3699.5</v>
      </c>
      <c r="K13" s="15">
        <v>3599.75</v>
      </c>
      <c r="L13" s="15">
        <v>3599.75</v>
      </c>
      <c r="M13" s="15">
        <v>3599.75</v>
      </c>
      <c r="N13" s="15">
        <v>2699.81</v>
      </c>
    </row>
    <row r="14" spans="1:14" x14ac:dyDescent="0.25">
      <c r="A14" s="10" t="s">
        <v>110</v>
      </c>
      <c r="B14" s="15">
        <v>12363.69</v>
      </c>
      <c r="C14" s="15">
        <v>10115.75</v>
      </c>
      <c r="D14" s="15">
        <v>10115.75</v>
      </c>
      <c r="E14" s="15">
        <v>10115.75</v>
      </c>
      <c r="F14" s="15">
        <v>10115.75</v>
      </c>
      <c r="G14" s="15">
        <v>10115.75</v>
      </c>
      <c r="H14" s="15">
        <v>10115.75</v>
      </c>
      <c r="I14" s="15">
        <v>10115.75</v>
      </c>
      <c r="J14" s="15">
        <v>11848.83</v>
      </c>
      <c r="K14" s="15">
        <v>10982.29</v>
      </c>
      <c r="L14" s="15">
        <v>23059.29</v>
      </c>
      <c r="M14" s="15">
        <v>10982.29</v>
      </c>
      <c r="N14" s="15">
        <v>10982.29</v>
      </c>
    </row>
    <row r="15" spans="1:14" x14ac:dyDescent="0.25">
      <c r="A15" s="10" t="s">
        <v>112</v>
      </c>
      <c r="B15" s="15">
        <v>10617.21</v>
      </c>
      <c r="C15" s="15">
        <v>13000</v>
      </c>
      <c r="D15" s="15">
        <v>30202</v>
      </c>
      <c r="E15" s="15">
        <v>13000</v>
      </c>
      <c r="F15" s="15">
        <v>13000</v>
      </c>
      <c r="G15" s="15">
        <v>13000</v>
      </c>
      <c r="H15" s="15">
        <v>13000</v>
      </c>
      <c r="I15" s="15">
        <v>13000</v>
      </c>
      <c r="J15" s="15">
        <v>15225.6</v>
      </c>
      <c r="K15" s="15">
        <v>14112.8</v>
      </c>
      <c r="L15" s="15">
        <v>14112.8</v>
      </c>
      <c r="M15" s="15">
        <v>14112.8</v>
      </c>
      <c r="N15" s="15">
        <v>14112.8</v>
      </c>
    </row>
    <row r="16" spans="1:14" x14ac:dyDescent="0.25">
      <c r="A16" s="10" t="s">
        <v>114</v>
      </c>
      <c r="B16" s="15">
        <v>10000</v>
      </c>
      <c r="C16" s="15">
        <v>10000</v>
      </c>
      <c r="D16" s="15">
        <v>23332</v>
      </c>
      <c r="E16" s="15">
        <v>10000</v>
      </c>
      <c r="F16" s="15">
        <v>10100</v>
      </c>
      <c r="G16" s="15">
        <v>10100</v>
      </c>
      <c r="H16" s="15">
        <v>10100</v>
      </c>
      <c r="I16" s="15">
        <v>14071.32</v>
      </c>
      <c r="J16" s="15">
        <v>11092.83</v>
      </c>
      <c r="K16" s="15">
        <v>11092.83</v>
      </c>
      <c r="L16" s="15">
        <v>11092.83</v>
      </c>
      <c r="M16" s="15">
        <v>11092.83</v>
      </c>
      <c r="N16" s="15">
        <v>11092.83</v>
      </c>
    </row>
    <row r="17" spans="1:14" x14ac:dyDescent="0.25">
      <c r="A17" s="10" t="s">
        <v>116</v>
      </c>
      <c r="B17" s="15">
        <v>0</v>
      </c>
      <c r="C17" s="15">
        <v>1250</v>
      </c>
      <c r="D17" s="15">
        <v>2500</v>
      </c>
      <c r="E17" s="15">
        <v>2500</v>
      </c>
      <c r="F17" s="15">
        <v>1083.33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625</v>
      </c>
    </row>
    <row r="18" spans="1:14" x14ac:dyDescent="0.25">
      <c r="A18" s="10" t="s">
        <v>118</v>
      </c>
      <c r="B18" s="15">
        <v>6698.86</v>
      </c>
      <c r="C18" s="15">
        <v>11273.17</v>
      </c>
      <c r="D18" s="15">
        <v>4509.26</v>
      </c>
      <c r="E18" s="15">
        <v>6763.9</v>
      </c>
      <c r="F18" s="15">
        <v>6763.9</v>
      </c>
      <c r="G18" s="15">
        <v>6763.9</v>
      </c>
      <c r="H18" s="15">
        <v>6763.9</v>
      </c>
      <c r="I18" s="15">
        <v>9423.4599999999991</v>
      </c>
      <c r="J18" s="15">
        <v>7428.79</v>
      </c>
      <c r="K18" s="15">
        <v>7428.79</v>
      </c>
      <c r="L18" s="15">
        <v>7428.79</v>
      </c>
      <c r="M18" s="15">
        <v>7428.79</v>
      </c>
      <c r="N18" s="15">
        <v>7428.79</v>
      </c>
    </row>
    <row r="19" spans="1:14" x14ac:dyDescent="0.25">
      <c r="A19" s="10" t="s">
        <v>120</v>
      </c>
      <c r="B19" s="15">
        <v>0</v>
      </c>
      <c r="C19" s="15">
        <v>0</v>
      </c>
      <c r="D19" s="15">
        <v>0</v>
      </c>
      <c r="E19" s="15">
        <v>1666.67</v>
      </c>
      <c r="F19" s="15">
        <v>2500</v>
      </c>
      <c r="G19" s="15">
        <v>2500</v>
      </c>
      <c r="H19" s="15">
        <v>2500</v>
      </c>
      <c r="I19" s="15">
        <v>2500</v>
      </c>
      <c r="J19" s="15">
        <v>2642.5</v>
      </c>
      <c r="K19" s="15">
        <v>2571.25</v>
      </c>
      <c r="L19" s="15">
        <v>2571.25</v>
      </c>
      <c r="M19" s="15">
        <v>2571.25</v>
      </c>
      <c r="N19" s="15">
        <v>1928.44</v>
      </c>
    </row>
    <row r="20" spans="1:14" x14ac:dyDescent="0.25">
      <c r="A20" s="10" t="s">
        <v>122</v>
      </c>
      <c r="B20" s="15">
        <v>9180</v>
      </c>
      <c r="C20" s="15">
        <v>11220</v>
      </c>
      <c r="D20" s="15">
        <v>22680</v>
      </c>
      <c r="E20" s="15">
        <v>9270</v>
      </c>
      <c r="F20" s="15">
        <v>9270</v>
      </c>
      <c r="G20" s="15">
        <v>9270</v>
      </c>
      <c r="H20" s="15">
        <v>9270</v>
      </c>
      <c r="I20" s="15">
        <v>12914.96</v>
      </c>
      <c r="J20" s="15">
        <v>10181.24</v>
      </c>
      <c r="K20" s="15">
        <v>10181.24</v>
      </c>
      <c r="L20" s="15">
        <v>15837.48</v>
      </c>
      <c r="M20" s="15">
        <v>6787.49</v>
      </c>
      <c r="N20" s="15">
        <v>10181.24</v>
      </c>
    </row>
    <row r="21" spans="1:14" x14ac:dyDescent="0.25">
      <c r="A21" s="10" t="s">
        <v>124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2300</v>
      </c>
      <c r="M21" s="15">
        <v>2300</v>
      </c>
      <c r="N21" s="15">
        <v>383.33</v>
      </c>
    </row>
    <row r="22" spans="1:14" x14ac:dyDescent="0.25">
      <c r="A22" s="10" t="s">
        <v>126</v>
      </c>
      <c r="B22" s="15">
        <v>492.49</v>
      </c>
      <c r="C22" s="15">
        <v>3729.54</v>
      </c>
      <c r="D22" s="15">
        <v>119.7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621.59</v>
      </c>
    </row>
    <row r="23" spans="1:14" x14ac:dyDescent="0.25">
      <c r="A23" s="10" t="s">
        <v>128</v>
      </c>
      <c r="B23" s="15">
        <v>2098.1999999999998</v>
      </c>
      <c r="C23" s="15">
        <v>2098.1999999999998</v>
      </c>
      <c r="D23" s="15">
        <v>2867.54</v>
      </c>
      <c r="E23" s="15">
        <v>2028.26</v>
      </c>
      <c r="F23" s="15">
        <v>2098.1999999999998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874.25</v>
      </c>
    </row>
    <row r="24" spans="1:14" x14ac:dyDescent="0.25">
      <c r="A24" s="10" t="s">
        <v>130</v>
      </c>
      <c r="B24" s="15">
        <v>7998.3</v>
      </c>
      <c r="C24" s="15">
        <v>7998.3</v>
      </c>
      <c r="D24" s="15">
        <v>8049.3</v>
      </c>
      <c r="E24" s="15">
        <v>8049.3</v>
      </c>
      <c r="F24" s="15">
        <v>8049.3</v>
      </c>
      <c r="G24" s="15">
        <v>8049.3</v>
      </c>
      <c r="H24" s="15">
        <v>9872.0300000000007</v>
      </c>
      <c r="I24" s="15">
        <v>8049.3</v>
      </c>
      <c r="J24" s="15">
        <v>9428.6</v>
      </c>
      <c r="K24" s="15">
        <v>8738.9500000000007</v>
      </c>
      <c r="L24" s="15">
        <v>8738.9500000000007</v>
      </c>
      <c r="M24" s="15">
        <v>8738.9500000000007</v>
      </c>
      <c r="N24" s="15">
        <v>8738.9500000000007</v>
      </c>
    </row>
    <row r="25" spans="1:14" x14ac:dyDescent="0.25">
      <c r="A25" s="10" t="s">
        <v>132</v>
      </c>
      <c r="B25" s="15">
        <v>1354.35</v>
      </c>
      <c r="C25" s="15">
        <v>3729.54</v>
      </c>
      <c r="D25" s="15">
        <v>3729.54</v>
      </c>
      <c r="E25" s="15">
        <v>3729.54</v>
      </c>
      <c r="F25" s="15">
        <v>3729.54</v>
      </c>
      <c r="G25" s="15">
        <v>3729.54</v>
      </c>
      <c r="H25" s="15">
        <v>3729.54</v>
      </c>
      <c r="I25" s="15">
        <v>5195.9799999999996</v>
      </c>
      <c r="J25" s="15">
        <v>4096.1499999999996</v>
      </c>
      <c r="K25" s="15">
        <v>4096.1499999999996</v>
      </c>
      <c r="L25" s="15">
        <v>4096.1499999999996</v>
      </c>
      <c r="M25" s="15">
        <v>7782.68</v>
      </c>
      <c r="N25" s="15">
        <v>4096.1499999999996</v>
      </c>
    </row>
    <row r="26" spans="1:14" x14ac:dyDescent="0.25">
      <c r="A26" s="10" t="s">
        <v>134</v>
      </c>
      <c r="B26" s="15">
        <v>3500</v>
      </c>
      <c r="C26" s="15">
        <v>3500</v>
      </c>
      <c r="D26" s="15">
        <v>3500</v>
      </c>
      <c r="E26" s="15">
        <v>3500</v>
      </c>
      <c r="F26" s="15">
        <v>3500</v>
      </c>
      <c r="G26" s="15">
        <v>3500</v>
      </c>
      <c r="H26" s="15">
        <v>3500</v>
      </c>
      <c r="I26" s="15">
        <v>3500</v>
      </c>
      <c r="J26" s="15">
        <v>3899.7</v>
      </c>
      <c r="K26" s="15">
        <v>3699.85</v>
      </c>
      <c r="L26" s="15">
        <v>3699.85</v>
      </c>
      <c r="M26" s="15">
        <v>6988.61</v>
      </c>
      <c r="N26" s="15">
        <v>3699.85</v>
      </c>
    </row>
    <row r="27" spans="1:14" x14ac:dyDescent="0.25">
      <c r="A27" s="10" t="s">
        <v>136</v>
      </c>
      <c r="B27" s="15">
        <v>0</v>
      </c>
      <c r="C27" s="15">
        <v>0</v>
      </c>
      <c r="D27" s="15">
        <v>0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3000</v>
      </c>
      <c r="M27" s="15">
        <v>3000</v>
      </c>
      <c r="N27" s="15">
        <v>500</v>
      </c>
    </row>
    <row r="28" spans="1:14" x14ac:dyDescent="0.25">
      <c r="A28" s="10" t="s">
        <v>138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6746.87</v>
      </c>
      <c r="H28" s="15">
        <v>6944</v>
      </c>
      <c r="I28" s="15">
        <v>6944</v>
      </c>
      <c r="J28" s="15">
        <v>7113.14</v>
      </c>
      <c r="K28" s="15">
        <v>7028.57</v>
      </c>
      <c r="L28" s="15">
        <v>7028.57</v>
      </c>
      <c r="M28" s="15">
        <v>7028.57</v>
      </c>
      <c r="N28" s="15">
        <v>3499.17</v>
      </c>
    </row>
    <row r="29" spans="1:14" x14ac:dyDescent="0.25">
      <c r="A29" s="10" t="s">
        <v>140</v>
      </c>
      <c r="B29" s="15">
        <v>0</v>
      </c>
      <c r="C29" s="15">
        <v>2250</v>
      </c>
      <c r="D29" s="15">
        <v>4500</v>
      </c>
      <c r="E29" s="15">
        <v>4500</v>
      </c>
      <c r="F29" s="15">
        <v>4500</v>
      </c>
      <c r="G29" s="15">
        <v>4500</v>
      </c>
      <c r="H29" s="15">
        <v>4500</v>
      </c>
      <c r="I29" s="15">
        <v>4500</v>
      </c>
      <c r="J29" s="15">
        <v>4885.2</v>
      </c>
      <c r="K29" s="15">
        <v>4692.6000000000004</v>
      </c>
      <c r="L29" s="15">
        <v>4692.6000000000004</v>
      </c>
      <c r="M29" s="15">
        <v>4692.6000000000004</v>
      </c>
      <c r="N29" s="15">
        <v>4301.55</v>
      </c>
    </row>
    <row r="30" spans="1:14" x14ac:dyDescent="0.25">
      <c r="A30" s="10" t="s">
        <v>142</v>
      </c>
      <c r="B30" s="15">
        <v>5500</v>
      </c>
      <c r="C30" s="15">
        <v>5500</v>
      </c>
      <c r="D30" s="15">
        <v>8372.2199999999993</v>
      </c>
      <c r="E30" s="15">
        <v>3850</v>
      </c>
      <c r="F30" s="15">
        <v>5500</v>
      </c>
      <c r="G30" s="15">
        <v>5500</v>
      </c>
      <c r="H30" s="15">
        <v>5500</v>
      </c>
      <c r="I30" s="15">
        <v>5500</v>
      </c>
      <c r="J30" s="15">
        <v>6441.6</v>
      </c>
      <c r="K30" s="15">
        <v>5970.8</v>
      </c>
      <c r="L30" s="15">
        <v>5970.8</v>
      </c>
      <c r="M30" s="15">
        <v>5970.8</v>
      </c>
      <c r="N30" s="15">
        <v>5970.8</v>
      </c>
    </row>
    <row r="31" spans="1:14" x14ac:dyDescent="0.25">
      <c r="A31" s="10" t="s">
        <v>144</v>
      </c>
      <c r="B31" s="15">
        <v>2835.94</v>
      </c>
      <c r="C31" s="15">
        <v>6760</v>
      </c>
      <c r="D31" s="15">
        <v>6760</v>
      </c>
      <c r="E31" s="15">
        <v>6760</v>
      </c>
      <c r="F31" s="15">
        <v>6760</v>
      </c>
      <c r="G31" s="15">
        <v>6760</v>
      </c>
      <c r="H31" s="15">
        <v>6760</v>
      </c>
      <c r="I31" s="15">
        <v>9418.0400000000009</v>
      </c>
      <c r="J31" s="15">
        <v>7424.51</v>
      </c>
      <c r="K31" s="15">
        <v>7424.51</v>
      </c>
      <c r="L31" s="15">
        <v>7424.51</v>
      </c>
      <c r="M31" s="15">
        <v>7424.51</v>
      </c>
      <c r="N31" s="15">
        <v>7424.51</v>
      </c>
    </row>
    <row r="32" spans="1:14" x14ac:dyDescent="0.25">
      <c r="A32" s="10" t="s">
        <v>146</v>
      </c>
      <c r="B32" s="15">
        <v>3044.94</v>
      </c>
      <c r="C32" s="15">
        <v>3074.5</v>
      </c>
      <c r="D32" s="15">
        <v>3074.5</v>
      </c>
      <c r="E32" s="15">
        <v>3074.5</v>
      </c>
      <c r="F32" s="15">
        <v>3074.5</v>
      </c>
      <c r="G32" s="15">
        <v>3536</v>
      </c>
      <c r="H32" s="15">
        <v>3536</v>
      </c>
      <c r="I32" s="15">
        <v>4880.9799999999996</v>
      </c>
      <c r="J32" s="15">
        <v>3883.59</v>
      </c>
      <c r="K32" s="15">
        <v>3883.59</v>
      </c>
      <c r="L32" s="15">
        <v>3883.59</v>
      </c>
      <c r="M32" s="15">
        <v>8802.7999999999993</v>
      </c>
      <c r="N32" s="15">
        <v>3883.59</v>
      </c>
    </row>
    <row r="33" spans="1:14" x14ac:dyDescent="0.25">
      <c r="A33" s="10" t="s">
        <v>148</v>
      </c>
      <c r="B33" s="15">
        <v>3576.38</v>
      </c>
      <c r="C33" s="15">
        <v>3576.38</v>
      </c>
      <c r="D33" s="15">
        <v>3576.38</v>
      </c>
      <c r="E33" s="15">
        <v>3576.38</v>
      </c>
      <c r="F33" s="15">
        <v>3576.38</v>
      </c>
      <c r="G33" s="15">
        <v>4609.55</v>
      </c>
      <c r="H33" s="15">
        <v>3337.95</v>
      </c>
      <c r="I33" s="15">
        <v>5322.57</v>
      </c>
      <c r="J33" s="15">
        <v>3927.93</v>
      </c>
      <c r="K33" s="15">
        <v>3966.44</v>
      </c>
      <c r="L33" s="15">
        <v>3966.44</v>
      </c>
      <c r="M33" s="15">
        <v>3966.44</v>
      </c>
      <c r="N33" s="15">
        <v>3966.44</v>
      </c>
    </row>
    <row r="34" spans="1:14" x14ac:dyDescent="0.25">
      <c r="A34" s="10" t="s">
        <v>150</v>
      </c>
      <c r="B34" s="15">
        <v>18050.36</v>
      </c>
      <c r="C34" s="15">
        <v>17577.77</v>
      </c>
      <c r="D34" s="15">
        <v>32383.33</v>
      </c>
      <c r="E34" s="15">
        <v>14000</v>
      </c>
      <c r="F34" s="15">
        <v>14000</v>
      </c>
      <c r="G34" s="15">
        <v>14000</v>
      </c>
      <c r="H34" s="15">
        <v>14000</v>
      </c>
      <c r="I34" s="15">
        <v>14000</v>
      </c>
      <c r="J34" s="15">
        <v>16396.8</v>
      </c>
      <c r="K34" s="15">
        <v>15198.4</v>
      </c>
      <c r="L34" s="15">
        <v>15198.4</v>
      </c>
      <c r="M34" s="15">
        <v>15198.4</v>
      </c>
      <c r="N34" s="15">
        <v>15198.4</v>
      </c>
    </row>
    <row r="35" spans="1:14" x14ac:dyDescent="0.25">
      <c r="A35" s="10" t="s">
        <v>152</v>
      </c>
      <c r="B35" s="15">
        <v>4683.82</v>
      </c>
      <c r="C35" s="15">
        <v>4683.82</v>
      </c>
      <c r="D35" s="15">
        <v>4683.82</v>
      </c>
      <c r="E35" s="15">
        <v>4683.82</v>
      </c>
      <c r="F35" s="15">
        <v>4729.3</v>
      </c>
      <c r="G35" s="15">
        <v>4729.3</v>
      </c>
      <c r="H35" s="15">
        <v>4729.3</v>
      </c>
      <c r="I35" s="15">
        <v>6588.86</v>
      </c>
      <c r="J35" s="15">
        <v>5194.1899999999996</v>
      </c>
      <c r="K35" s="15">
        <v>5194.1899999999996</v>
      </c>
      <c r="L35" s="15">
        <v>5194.1899999999996</v>
      </c>
      <c r="M35" s="15">
        <v>5194.1899999999996</v>
      </c>
      <c r="N35" s="15">
        <v>5194.1899999999996</v>
      </c>
    </row>
    <row r="36" spans="1:14" x14ac:dyDescent="0.25">
      <c r="A36" s="10" t="s">
        <v>154</v>
      </c>
      <c r="B36" s="15">
        <v>19045.669999999998</v>
      </c>
      <c r="C36" s="15">
        <v>19045.669999999998</v>
      </c>
      <c r="D36" s="15">
        <v>54851.09</v>
      </c>
      <c r="E36" s="15">
        <v>19045.669999999998</v>
      </c>
      <c r="F36" s="15">
        <v>19045.669999999998</v>
      </c>
      <c r="G36" s="15">
        <v>19045.669999999998</v>
      </c>
      <c r="H36" s="15">
        <v>35975.15</v>
      </c>
      <c r="I36" s="15">
        <v>6382.56</v>
      </c>
      <c r="J36" s="15">
        <v>22669.99</v>
      </c>
      <c r="K36" s="15">
        <v>20676.61</v>
      </c>
      <c r="L36" s="15">
        <v>20676.61</v>
      </c>
      <c r="M36" s="15">
        <v>20676.61</v>
      </c>
      <c r="N36" s="15">
        <v>20676.61</v>
      </c>
    </row>
    <row r="37" spans="1:14" x14ac:dyDescent="0.25">
      <c r="A37" s="10" t="s">
        <v>156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2300</v>
      </c>
      <c r="M37" s="15">
        <v>2300</v>
      </c>
      <c r="N37" s="15">
        <v>383.33</v>
      </c>
    </row>
    <row r="38" spans="1:14" x14ac:dyDescent="0.25">
      <c r="A38" s="10" t="s">
        <v>158</v>
      </c>
      <c r="B38" s="15">
        <v>3044.94</v>
      </c>
      <c r="C38" s="15">
        <v>3044.94</v>
      </c>
      <c r="D38" s="15">
        <v>3074.5</v>
      </c>
      <c r="E38" s="15">
        <v>3074.5</v>
      </c>
      <c r="F38" s="15">
        <v>3074.5</v>
      </c>
      <c r="G38" s="15">
        <v>3536</v>
      </c>
      <c r="H38" s="15">
        <v>3536</v>
      </c>
      <c r="I38" s="15">
        <v>4880.9799999999996</v>
      </c>
      <c r="J38" s="15">
        <v>6602.1</v>
      </c>
      <c r="K38" s="15">
        <v>2459.61</v>
      </c>
      <c r="L38" s="15">
        <v>3883.59</v>
      </c>
      <c r="M38" s="15">
        <v>3883.59</v>
      </c>
      <c r="N38" s="15">
        <v>3883.59</v>
      </c>
    </row>
    <row r="39" spans="1:14" x14ac:dyDescent="0.25">
      <c r="A39" s="10" t="s">
        <v>160</v>
      </c>
      <c r="B39" s="15">
        <v>5563.15</v>
      </c>
      <c r="C39" s="15">
        <v>5563.15</v>
      </c>
      <c r="D39" s="15">
        <v>12980.68</v>
      </c>
      <c r="E39" s="15">
        <v>556.30999999999995</v>
      </c>
      <c r="F39" s="15">
        <v>5006.83</v>
      </c>
      <c r="G39" s="15">
        <v>5563.15</v>
      </c>
      <c r="H39" s="15">
        <v>5563.15</v>
      </c>
      <c r="I39" s="15">
        <v>2781.58</v>
      </c>
      <c r="J39" s="15">
        <v>5472.21</v>
      </c>
      <c r="K39" s="15">
        <v>6039.36</v>
      </c>
      <c r="L39" s="15">
        <v>6039.36</v>
      </c>
      <c r="M39" s="15">
        <v>6039.36</v>
      </c>
      <c r="N39" s="15">
        <v>6039.36</v>
      </c>
    </row>
    <row r="40" spans="1:14" x14ac:dyDescent="0.25">
      <c r="A40" s="10" t="s">
        <v>162</v>
      </c>
      <c r="B40" s="15">
        <v>3000</v>
      </c>
      <c r="C40" s="15">
        <v>3000</v>
      </c>
      <c r="D40" s="15">
        <v>3000</v>
      </c>
      <c r="E40" s="15">
        <v>100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750</v>
      </c>
    </row>
    <row r="41" spans="1:14" x14ac:dyDescent="0.25">
      <c r="A41" s="10" t="s">
        <v>164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8056</v>
      </c>
      <c r="L41" s="15">
        <v>8056</v>
      </c>
      <c r="M41" s="15">
        <v>8056</v>
      </c>
      <c r="N41" s="15">
        <v>8056</v>
      </c>
    </row>
    <row r="42" spans="1:14" x14ac:dyDescent="0.25">
      <c r="A42" s="10" t="s">
        <v>166</v>
      </c>
      <c r="B42" s="15">
        <v>3846.54</v>
      </c>
      <c r="C42" s="15">
        <v>3883.88</v>
      </c>
      <c r="D42" s="15">
        <v>3883.88</v>
      </c>
      <c r="E42" s="15">
        <v>3883.88</v>
      </c>
      <c r="F42" s="15">
        <v>3883.88</v>
      </c>
      <c r="G42" s="15">
        <v>3883.88</v>
      </c>
      <c r="H42" s="15">
        <v>3883.88</v>
      </c>
      <c r="I42" s="15">
        <v>5411</v>
      </c>
      <c r="J42" s="15">
        <v>4265.66</v>
      </c>
      <c r="K42" s="15">
        <v>4265.66</v>
      </c>
      <c r="L42" s="15">
        <v>4265.66</v>
      </c>
      <c r="M42" s="15">
        <v>9100.08</v>
      </c>
      <c r="N42" s="15">
        <v>4265.66</v>
      </c>
    </row>
    <row r="43" spans="1:14" x14ac:dyDescent="0.25">
      <c r="A43" s="10" t="s">
        <v>168</v>
      </c>
      <c r="B43" s="15">
        <v>11692.55</v>
      </c>
      <c r="C43" s="15">
        <v>11692.55</v>
      </c>
      <c r="D43" s="15">
        <v>11692.55</v>
      </c>
      <c r="E43" s="15">
        <v>11692.55</v>
      </c>
      <c r="F43" s="15">
        <v>11692.55</v>
      </c>
      <c r="G43" s="15">
        <v>22085.919999999998</v>
      </c>
      <c r="H43" s="15">
        <v>3897.51</v>
      </c>
      <c r="I43" s="15">
        <v>16545.5</v>
      </c>
      <c r="J43" s="15">
        <v>12841.93</v>
      </c>
      <c r="K43" s="15">
        <v>12965.41</v>
      </c>
      <c r="L43" s="15">
        <v>12965.41</v>
      </c>
      <c r="M43" s="15">
        <v>12965.41</v>
      </c>
      <c r="N43" s="15">
        <v>12965.41</v>
      </c>
    </row>
    <row r="44" spans="1:14" x14ac:dyDescent="0.25">
      <c r="A44" s="10" t="s">
        <v>170</v>
      </c>
      <c r="B44" s="15">
        <v>9000</v>
      </c>
      <c r="C44" s="15">
        <v>9000</v>
      </c>
      <c r="D44" s="15">
        <v>9000</v>
      </c>
      <c r="E44" s="15">
        <v>13440</v>
      </c>
      <c r="F44" s="15">
        <v>9000</v>
      </c>
      <c r="G44" s="15">
        <v>9000</v>
      </c>
      <c r="H44" s="15">
        <v>9000</v>
      </c>
      <c r="I44" s="15">
        <v>9000</v>
      </c>
      <c r="J44" s="15">
        <v>10540.8</v>
      </c>
      <c r="K44" s="15">
        <v>9770.4</v>
      </c>
      <c r="L44" s="15">
        <v>9770.4</v>
      </c>
      <c r="M44" s="15">
        <v>21820.560000000001</v>
      </c>
      <c r="N44" s="15">
        <v>9770.4</v>
      </c>
    </row>
    <row r="45" spans="1:14" x14ac:dyDescent="0.25">
      <c r="A45" s="10" t="s">
        <v>172</v>
      </c>
      <c r="B45" s="15">
        <v>6629.45</v>
      </c>
      <c r="C45" s="15">
        <v>6629.45</v>
      </c>
      <c r="D45" s="15">
        <v>6629.45</v>
      </c>
      <c r="E45" s="15">
        <v>8102.66</v>
      </c>
      <c r="F45" s="15">
        <v>6629.45</v>
      </c>
      <c r="G45" s="15">
        <v>6629.45</v>
      </c>
      <c r="H45" s="15">
        <v>6629.45</v>
      </c>
      <c r="I45" s="15">
        <v>6629.45</v>
      </c>
      <c r="J45" s="15">
        <v>7764.41</v>
      </c>
      <c r="K45" s="15">
        <v>7196.93</v>
      </c>
      <c r="L45" s="15">
        <v>7196.93</v>
      </c>
      <c r="M45" s="15">
        <v>7196.93</v>
      </c>
      <c r="N45" s="15">
        <v>7196.93</v>
      </c>
    </row>
    <row r="46" spans="1:14" x14ac:dyDescent="0.25">
      <c r="A46" s="10" t="s">
        <v>174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2600</v>
      </c>
      <c r="K46" s="15">
        <v>2600</v>
      </c>
      <c r="L46" s="15">
        <v>2600</v>
      </c>
      <c r="M46" s="15">
        <v>2600</v>
      </c>
      <c r="N46" s="15">
        <v>866.67</v>
      </c>
    </row>
    <row r="47" spans="1:14" x14ac:dyDescent="0.25">
      <c r="A47" s="10" t="s">
        <v>176</v>
      </c>
      <c r="B47" s="15">
        <v>3625.6</v>
      </c>
      <c r="C47" s="15">
        <v>3660.8</v>
      </c>
      <c r="D47" s="15">
        <v>3660.8</v>
      </c>
      <c r="E47" s="15">
        <v>3660.8</v>
      </c>
      <c r="F47" s="15">
        <v>3660.8</v>
      </c>
      <c r="G47" s="15">
        <v>3660.8</v>
      </c>
      <c r="H47" s="15">
        <v>3660.8</v>
      </c>
      <c r="I47" s="15">
        <v>5100.24</v>
      </c>
      <c r="J47" s="15">
        <v>4020.66</v>
      </c>
      <c r="K47" s="15">
        <v>4020.66</v>
      </c>
      <c r="L47" s="15">
        <v>4020.66</v>
      </c>
      <c r="M47" s="15">
        <v>7594.58</v>
      </c>
      <c r="N47" s="15">
        <v>4020.66</v>
      </c>
    </row>
    <row r="48" spans="1:14" x14ac:dyDescent="0.25">
      <c r="A48" s="10" t="s">
        <v>178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2487.33</v>
      </c>
      <c r="I48" s="15">
        <v>2665</v>
      </c>
      <c r="J48" s="15">
        <v>2702.84</v>
      </c>
      <c r="K48" s="15">
        <v>2683.92</v>
      </c>
      <c r="L48" s="15">
        <v>2683.92</v>
      </c>
      <c r="M48" s="15">
        <v>2683.92</v>
      </c>
      <c r="N48" s="15">
        <v>1341.96</v>
      </c>
    </row>
    <row r="49" spans="1:14" x14ac:dyDescent="0.25">
      <c r="A49" s="10" t="s">
        <v>180</v>
      </c>
      <c r="B49" s="15">
        <v>4065.6</v>
      </c>
      <c r="C49" s="15">
        <v>4065.6</v>
      </c>
      <c r="D49" s="15">
        <v>4065.6</v>
      </c>
      <c r="E49" s="15">
        <v>4065.6</v>
      </c>
      <c r="F49" s="15">
        <v>4065.6</v>
      </c>
      <c r="G49" s="15">
        <v>4065.6</v>
      </c>
      <c r="H49" s="15">
        <v>4065.6</v>
      </c>
      <c r="I49" s="15">
        <v>4065.6</v>
      </c>
      <c r="J49" s="15">
        <v>5848.02</v>
      </c>
      <c r="K49" s="15">
        <v>5500</v>
      </c>
      <c r="L49" s="15">
        <v>5500</v>
      </c>
      <c r="M49" s="15">
        <v>5500</v>
      </c>
      <c r="N49" s="15">
        <v>5500</v>
      </c>
    </row>
    <row r="50" spans="1:14" x14ac:dyDescent="0.25">
      <c r="A50" s="10" t="s">
        <v>182</v>
      </c>
      <c r="B50" s="15">
        <v>513.80999999999995</v>
      </c>
      <c r="C50" s="15">
        <v>3853.56</v>
      </c>
      <c r="D50" s="15">
        <v>3853.56</v>
      </c>
      <c r="E50" s="15">
        <v>3853.56</v>
      </c>
      <c r="F50" s="15">
        <v>3853.56</v>
      </c>
      <c r="G50" s="15">
        <v>3853.56</v>
      </c>
      <c r="H50" s="15">
        <v>3891.72</v>
      </c>
      <c r="I50" s="15">
        <v>5414.42</v>
      </c>
      <c r="J50" s="15">
        <v>6648.86</v>
      </c>
      <c r="K50" s="15">
        <v>2849.51</v>
      </c>
      <c r="L50" s="15">
        <v>4274.2700000000004</v>
      </c>
      <c r="M50" s="15">
        <v>4274.2700000000004</v>
      </c>
      <c r="N50" s="15">
        <v>4274.2700000000004</v>
      </c>
    </row>
    <row r="51" spans="1:14" x14ac:dyDescent="0.25">
      <c r="A51" s="10" t="s">
        <v>184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833.33</v>
      </c>
      <c r="M51" s="15">
        <v>2500</v>
      </c>
      <c r="N51" s="15">
        <v>208.33</v>
      </c>
    </row>
    <row r="52" spans="1:14" x14ac:dyDescent="0.25">
      <c r="A52" s="10" t="s">
        <v>186</v>
      </c>
      <c r="B52" s="15">
        <v>4997.24</v>
      </c>
      <c r="C52" s="15">
        <v>4997.24</v>
      </c>
      <c r="D52" s="15">
        <v>4997.24</v>
      </c>
      <c r="E52" s="15">
        <v>4997.24</v>
      </c>
      <c r="F52" s="15">
        <v>4997.24</v>
      </c>
      <c r="G52" s="15">
        <v>4997.24</v>
      </c>
      <c r="H52" s="15">
        <v>4997.24</v>
      </c>
      <c r="I52" s="15">
        <v>4997.24</v>
      </c>
      <c r="J52" s="15">
        <v>5852.76</v>
      </c>
      <c r="K52" s="15">
        <v>9945.83</v>
      </c>
      <c r="L52" s="15">
        <v>2712.5</v>
      </c>
      <c r="M52" s="15">
        <v>5425</v>
      </c>
      <c r="N52" s="15">
        <v>5425</v>
      </c>
    </row>
    <row r="53" spans="1:14" x14ac:dyDescent="0.25">
      <c r="A53" s="10" t="s">
        <v>188</v>
      </c>
      <c r="B53" s="15">
        <v>8000</v>
      </c>
      <c r="C53" s="15">
        <v>8000</v>
      </c>
      <c r="D53" s="15">
        <v>8000</v>
      </c>
      <c r="E53" s="15">
        <v>8000</v>
      </c>
      <c r="F53" s="15">
        <v>8000</v>
      </c>
      <c r="G53" s="15">
        <v>8000</v>
      </c>
      <c r="H53" s="15">
        <v>8000</v>
      </c>
      <c r="I53" s="15">
        <v>8000</v>
      </c>
      <c r="J53" s="15">
        <v>9140.7999999999993</v>
      </c>
      <c r="K53" s="15">
        <v>8570.4</v>
      </c>
      <c r="L53" s="15">
        <v>8570.4</v>
      </c>
      <c r="M53" s="15">
        <v>8570.4</v>
      </c>
      <c r="N53" s="15">
        <v>8570.4</v>
      </c>
    </row>
    <row r="54" spans="1:14" x14ac:dyDescent="0.25">
      <c r="A54" s="10" t="s">
        <v>190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0</v>
      </c>
      <c r="H54" s="15">
        <v>0</v>
      </c>
      <c r="I54" s="15">
        <v>0</v>
      </c>
      <c r="J54" s="15">
        <v>440</v>
      </c>
      <c r="K54" s="15">
        <v>3300</v>
      </c>
      <c r="L54" s="15">
        <v>3300</v>
      </c>
      <c r="M54" s="15">
        <v>3300</v>
      </c>
      <c r="N54" s="15">
        <v>825</v>
      </c>
    </row>
    <row r="55" spans="1:14" x14ac:dyDescent="0.25">
      <c r="A55" s="10" t="s">
        <v>192</v>
      </c>
      <c r="B55" s="15">
        <v>3738.9</v>
      </c>
      <c r="C55" s="15">
        <v>3775.2</v>
      </c>
      <c r="D55" s="15">
        <v>3775.2</v>
      </c>
      <c r="E55" s="15">
        <v>3775.2</v>
      </c>
      <c r="F55" s="15">
        <v>3775.2</v>
      </c>
      <c r="G55" s="15">
        <v>3775.2</v>
      </c>
      <c r="H55" s="15">
        <v>3775.2</v>
      </c>
      <c r="I55" s="15">
        <v>5259.6</v>
      </c>
      <c r="J55" s="15">
        <v>4146.3</v>
      </c>
      <c r="K55" s="15">
        <v>4146.3</v>
      </c>
      <c r="L55" s="15">
        <v>4146.3</v>
      </c>
      <c r="M55" s="15">
        <v>7002.64</v>
      </c>
      <c r="N55" s="15">
        <v>4146.3</v>
      </c>
    </row>
    <row r="56" spans="1:14" x14ac:dyDescent="0.25">
      <c r="A56" s="10" t="s">
        <v>194</v>
      </c>
      <c r="B56" s="15">
        <v>227.3</v>
      </c>
      <c r="C56" s="15">
        <v>1704.78</v>
      </c>
      <c r="D56" s="15">
        <v>1721.34</v>
      </c>
      <c r="E56" s="15">
        <v>1721.34</v>
      </c>
      <c r="F56" s="15">
        <v>1721.34</v>
      </c>
      <c r="G56" s="15">
        <v>1721.34</v>
      </c>
      <c r="H56" s="15">
        <v>1721.34</v>
      </c>
      <c r="I56" s="15">
        <v>534.05999999999995</v>
      </c>
      <c r="J56" s="15">
        <v>560.08000000000004</v>
      </c>
      <c r="K56" s="15">
        <v>0</v>
      </c>
      <c r="L56" s="15">
        <v>0</v>
      </c>
      <c r="M56" s="15">
        <v>0</v>
      </c>
      <c r="N56" s="15">
        <v>1417.91</v>
      </c>
    </row>
    <row r="57" spans="1:14" x14ac:dyDescent="0.25">
      <c r="A57" s="10" t="s">
        <v>196</v>
      </c>
      <c r="B57" s="15">
        <v>5000</v>
      </c>
      <c r="C57" s="15">
        <v>5000</v>
      </c>
      <c r="D57" s="15">
        <v>5000</v>
      </c>
      <c r="E57" s="15">
        <v>5000</v>
      </c>
      <c r="F57" s="15">
        <v>5000</v>
      </c>
      <c r="G57" s="15">
        <v>5000</v>
      </c>
      <c r="H57" s="15">
        <v>5000</v>
      </c>
      <c r="I57" s="15">
        <v>5000</v>
      </c>
      <c r="J57" s="15">
        <v>5642</v>
      </c>
      <c r="K57" s="15">
        <v>5321</v>
      </c>
      <c r="L57" s="15">
        <v>5321</v>
      </c>
      <c r="M57" s="15">
        <v>10050.77</v>
      </c>
      <c r="N57" s="15">
        <v>5321</v>
      </c>
    </row>
    <row r="58" spans="1:14" x14ac:dyDescent="0.25">
      <c r="A58" s="10" t="s">
        <v>198</v>
      </c>
      <c r="B58" s="15">
        <v>0</v>
      </c>
      <c r="C58" s="15">
        <v>0</v>
      </c>
      <c r="D58" s="15">
        <v>0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2800</v>
      </c>
      <c r="M58" s="15">
        <v>2800</v>
      </c>
      <c r="N58" s="15">
        <v>466.67</v>
      </c>
    </row>
    <row r="59" spans="1:14" x14ac:dyDescent="0.25">
      <c r="A59" s="10" t="s">
        <v>200</v>
      </c>
      <c r="B59" s="15">
        <v>312.54000000000002</v>
      </c>
      <c r="C59" s="15">
        <v>4375.59</v>
      </c>
      <c r="D59" s="15">
        <v>4688.13</v>
      </c>
      <c r="E59" s="15">
        <v>4733.6400000000003</v>
      </c>
      <c r="F59" s="15">
        <v>4733.6400000000003</v>
      </c>
      <c r="G59" s="15">
        <v>4733.6400000000003</v>
      </c>
      <c r="H59" s="15">
        <v>4733.6400000000003</v>
      </c>
      <c r="I59" s="15">
        <v>6594.92</v>
      </c>
      <c r="J59" s="15">
        <v>5198.96</v>
      </c>
      <c r="K59" s="15">
        <v>5198.96</v>
      </c>
      <c r="L59" s="15">
        <v>5198.96</v>
      </c>
      <c r="M59" s="15">
        <v>5198.96</v>
      </c>
      <c r="N59" s="15">
        <v>5198.96</v>
      </c>
    </row>
    <row r="60" spans="1:14" x14ac:dyDescent="0.25">
      <c r="A60" s="10" t="s">
        <v>202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3070</v>
      </c>
      <c r="I60" s="15">
        <v>3070</v>
      </c>
      <c r="J60" s="15">
        <v>3113.6</v>
      </c>
      <c r="K60" s="15">
        <v>3091.8</v>
      </c>
      <c r="L60" s="15">
        <v>3091.8</v>
      </c>
      <c r="M60" s="15">
        <v>3091.8</v>
      </c>
      <c r="N60" s="15">
        <v>1545.9</v>
      </c>
    </row>
    <row r="61" spans="1:14" x14ac:dyDescent="0.25">
      <c r="A61" s="10" t="s">
        <v>204</v>
      </c>
      <c r="B61" s="15">
        <v>1728.9</v>
      </c>
      <c r="C61" s="15">
        <v>1728.9</v>
      </c>
      <c r="D61" s="15">
        <v>2300</v>
      </c>
      <c r="E61" s="15">
        <v>2300</v>
      </c>
      <c r="F61" s="15">
        <v>2300</v>
      </c>
      <c r="G61" s="15">
        <v>2300</v>
      </c>
      <c r="H61" s="15">
        <v>2300</v>
      </c>
      <c r="I61" s="15">
        <v>3204.36</v>
      </c>
      <c r="J61" s="15">
        <v>2526.09</v>
      </c>
      <c r="K61" s="15">
        <v>2526.09</v>
      </c>
      <c r="L61" s="15">
        <v>2526.09</v>
      </c>
      <c r="M61" s="15">
        <v>2526.09</v>
      </c>
      <c r="N61" s="15">
        <v>2526.09</v>
      </c>
    </row>
    <row r="62" spans="1:14" x14ac:dyDescent="0.25">
      <c r="A62" s="10" t="s">
        <v>206</v>
      </c>
      <c r="B62" s="15">
        <v>4456.7</v>
      </c>
      <c r="C62" s="15">
        <v>4456.7</v>
      </c>
      <c r="D62" s="15">
        <v>4456.7</v>
      </c>
      <c r="E62" s="15">
        <v>4456.7</v>
      </c>
      <c r="F62" s="15">
        <v>4456.7</v>
      </c>
      <c r="G62" s="15">
        <v>4456.7</v>
      </c>
      <c r="H62" s="15">
        <v>4456.7</v>
      </c>
      <c r="I62" s="15">
        <v>4456.7</v>
      </c>
      <c r="J62" s="15">
        <v>6381.49</v>
      </c>
      <c r="K62" s="15">
        <v>6000</v>
      </c>
      <c r="L62" s="15">
        <v>6000</v>
      </c>
      <c r="M62" s="15">
        <v>6000</v>
      </c>
      <c r="N62" s="15">
        <v>6000</v>
      </c>
    </row>
    <row r="63" spans="1:14" x14ac:dyDescent="0.25">
      <c r="A63" s="10" t="s">
        <v>208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670.83</v>
      </c>
      <c r="J63" s="15">
        <v>838.54</v>
      </c>
      <c r="K63" s="15">
        <v>838.54</v>
      </c>
      <c r="L63" s="15">
        <v>838.54</v>
      </c>
      <c r="M63" s="15">
        <v>838.54</v>
      </c>
      <c r="N63" s="15">
        <v>349.39</v>
      </c>
    </row>
    <row r="64" spans="1:14" x14ac:dyDescent="0.25">
      <c r="A64" s="10" t="s">
        <v>210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0</v>
      </c>
      <c r="H64" s="15">
        <v>1704.27</v>
      </c>
      <c r="I64" s="15">
        <v>1826</v>
      </c>
      <c r="J64" s="15">
        <v>1851.92</v>
      </c>
      <c r="K64" s="15">
        <v>1838.96</v>
      </c>
      <c r="L64" s="15">
        <v>1838.96</v>
      </c>
      <c r="M64" s="15">
        <v>1838.96</v>
      </c>
      <c r="N64" s="15">
        <v>919.48</v>
      </c>
    </row>
    <row r="65" spans="1:14" x14ac:dyDescent="0.25">
      <c r="A65" s="10" t="s">
        <v>212</v>
      </c>
      <c r="B65" s="15">
        <v>0</v>
      </c>
      <c r="C65" s="15">
        <v>0</v>
      </c>
      <c r="D65" s="15">
        <v>466.67</v>
      </c>
      <c r="E65" s="15">
        <v>3500</v>
      </c>
      <c r="F65" s="15">
        <v>3500</v>
      </c>
      <c r="G65" s="15">
        <v>3500</v>
      </c>
      <c r="H65" s="15">
        <v>3500</v>
      </c>
      <c r="I65" s="15">
        <v>3500</v>
      </c>
      <c r="J65" s="15">
        <v>3749.9</v>
      </c>
      <c r="K65" s="15">
        <v>3624.95</v>
      </c>
      <c r="L65" s="15">
        <v>3624.95</v>
      </c>
      <c r="M65" s="15">
        <v>3624.95</v>
      </c>
      <c r="N65" s="15">
        <v>2718.71</v>
      </c>
    </row>
    <row r="66" spans="1:14" x14ac:dyDescent="0.25">
      <c r="A66" s="10" t="s">
        <v>214</v>
      </c>
      <c r="B66" s="15">
        <v>7951.91</v>
      </c>
      <c r="C66" s="15">
        <v>7951.91</v>
      </c>
      <c r="D66" s="15">
        <v>7951.91</v>
      </c>
      <c r="E66" s="15">
        <v>7951.91</v>
      </c>
      <c r="F66" s="15">
        <v>7951.91</v>
      </c>
      <c r="G66" s="15">
        <v>7951.91</v>
      </c>
      <c r="H66" s="15">
        <v>7951.91</v>
      </c>
      <c r="I66" s="15">
        <v>9753</v>
      </c>
      <c r="J66" s="15">
        <v>9465.9599999999991</v>
      </c>
      <c r="K66" s="15">
        <v>8633.23</v>
      </c>
      <c r="L66" s="15">
        <v>8633.23</v>
      </c>
      <c r="M66" s="15">
        <v>8633.23</v>
      </c>
      <c r="N66" s="15">
        <v>8633.23</v>
      </c>
    </row>
    <row r="67" spans="1:14" x14ac:dyDescent="0.25">
      <c r="A67" s="10" t="s">
        <v>216</v>
      </c>
      <c r="B67" s="15">
        <v>21093.73</v>
      </c>
      <c r="C67" s="15">
        <v>21093.73</v>
      </c>
      <c r="D67" s="15">
        <v>33721.93</v>
      </c>
      <c r="E67" s="15">
        <v>21093.73</v>
      </c>
      <c r="F67" s="15">
        <v>21093.73</v>
      </c>
      <c r="G67" s="15">
        <v>21093.73</v>
      </c>
      <c r="H67" s="15">
        <v>21093.73</v>
      </c>
      <c r="I67" s="15">
        <v>21093.73</v>
      </c>
      <c r="J67" s="15">
        <v>24704.97</v>
      </c>
      <c r="K67" s="15">
        <v>22899.35</v>
      </c>
      <c r="L67" s="15">
        <v>22899.35</v>
      </c>
      <c r="M67" s="15">
        <v>22899.35</v>
      </c>
      <c r="N67" s="15">
        <v>22899.35</v>
      </c>
    </row>
    <row r="68" spans="1:14" x14ac:dyDescent="0.25">
      <c r="A68" s="10" t="s">
        <v>218</v>
      </c>
      <c r="B68" s="15">
        <v>0</v>
      </c>
      <c r="C68" s="15">
        <v>0</v>
      </c>
      <c r="D68" s="15">
        <v>0</v>
      </c>
      <c r="E68" s="15">
        <v>0</v>
      </c>
      <c r="F68" s="15">
        <v>450</v>
      </c>
      <c r="G68" s="15">
        <v>1500</v>
      </c>
      <c r="H68" s="15">
        <v>1500</v>
      </c>
      <c r="I68" s="15">
        <v>1500</v>
      </c>
      <c r="J68" s="15">
        <v>1564.2</v>
      </c>
      <c r="K68" s="15">
        <v>1532.1</v>
      </c>
      <c r="L68" s="15">
        <v>1532.1</v>
      </c>
      <c r="M68" s="15">
        <v>1532.1</v>
      </c>
      <c r="N68" s="15">
        <v>893.73</v>
      </c>
    </row>
    <row r="69" spans="1:14" x14ac:dyDescent="0.25">
      <c r="A69" s="10" t="s">
        <v>220</v>
      </c>
      <c r="B69" s="15">
        <v>0</v>
      </c>
      <c r="C69" s="15">
        <v>0</v>
      </c>
      <c r="D69" s="15">
        <v>0</v>
      </c>
      <c r="E69" s="15">
        <v>5000</v>
      </c>
      <c r="F69" s="15">
        <v>5000</v>
      </c>
      <c r="G69" s="15">
        <v>5000</v>
      </c>
      <c r="H69" s="15">
        <v>5000</v>
      </c>
      <c r="I69" s="15">
        <v>5000</v>
      </c>
      <c r="J69" s="15">
        <v>5285</v>
      </c>
      <c r="K69" s="15">
        <v>5142.5</v>
      </c>
      <c r="L69" s="15">
        <v>5142.5</v>
      </c>
      <c r="M69" s="15">
        <v>5142.5</v>
      </c>
      <c r="N69" s="15">
        <v>3856.88</v>
      </c>
    </row>
    <row r="70" spans="1:14" x14ac:dyDescent="0.25">
      <c r="A70" s="10" t="s">
        <v>222</v>
      </c>
      <c r="B70" s="15">
        <v>9499.2999999999993</v>
      </c>
      <c r="C70" s="15">
        <v>9499.2999999999993</v>
      </c>
      <c r="D70" s="15">
        <v>9499.2999999999993</v>
      </c>
      <c r="E70" s="15">
        <v>11644.26</v>
      </c>
      <c r="F70" s="15">
        <v>9499.2999999999993</v>
      </c>
      <c r="G70" s="15">
        <v>9499.2999999999993</v>
      </c>
      <c r="H70" s="15">
        <v>9499.2999999999993</v>
      </c>
      <c r="I70" s="15">
        <v>9499.2999999999993</v>
      </c>
      <c r="J70" s="15">
        <v>11126.84</v>
      </c>
      <c r="K70" s="15">
        <v>10313.07</v>
      </c>
      <c r="L70" s="15">
        <v>10313.07</v>
      </c>
      <c r="M70" s="15">
        <v>10313.07</v>
      </c>
      <c r="N70" s="15">
        <v>10313.07</v>
      </c>
    </row>
    <row r="71" spans="1:14" x14ac:dyDescent="0.25">
      <c r="A71" s="10" t="s">
        <v>224</v>
      </c>
      <c r="B71" s="15">
        <v>1200</v>
      </c>
      <c r="C71" s="15">
        <v>1200</v>
      </c>
      <c r="D71" s="15">
        <v>1200</v>
      </c>
      <c r="E71" s="15">
        <v>1200</v>
      </c>
      <c r="F71" s="15">
        <v>1200</v>
      </c>
      <c r="G71" s="15">
        <v>1200</v>
      </c>
      <c r="H71" s="15">
        <v>1200</v>
      </c>
      <c r="I71" s="15">
        <v>1200</v>
      </c>
      <c r="J71" s="15">
        <v>1337.04</v>
      </c>
      <c r="K71" s="15">
        <v>1268.52</v>
      </c>
      <c r="L71" s="15">
        <v>1268.52</v>
      </c>
      <c r="M71" s="15">
        <v>1310.8</v>
      </c>
      <c r="N71" s="15">
        <v>0</v>
      </c>
    </row>
    <row r="72" spans="1:14" x14ac:dyDescent="0.25">
      <c r="A72" s="10" t="s">
        <v>226</v>
      </c>
      <c r="B72" s="15">
        <v>21175.7</v>
      </c>
      <c r="C72" s="15">
        <v>21175.7</v>
      </c>
      <c r="D72" s="15">
        <v>76175.7</v>
      </c>
      <c r="E72" s="15">
        <v>21175.7</v>
      </c>
      <c r="F72" s="15">
        <v>21175.7</v>
      </c>
      <c r="G72" s="15">
        <v>21175.7</v>
      </c>
      <c r="H72" s="15">
        <v>21175.7</v>
      </c>
      <c r="I72" s="15">
        <v>21175.7</v>
      </c>
      <c r="J72" s="15">
        <v>24802.240000000002</v>
      </c>
      <c r="K72" s="15">
        <v>22988.97</v>
      </c>
      <c r="L72" s="15">
        <v>45030.57</v>
      </c>
      <c r="M72" s="15">
        <v>22988.97</v>
      </c>
      <c r="N72" s="15">
        <v>22988.97</v>
      </c>
    </row>
    <row r="73" spans="1:14" x14ac:dyDescent="0.25">
      <c r="A73" s="10" t="s">
        <v>228</v>
      </c>
      <c r="B73" s="15">
        <v>0</v>
      </c>
      <c r="C73" s="15">
        <v>0</v>
      </c>
      <c r="D73" s="15">
        <v>0</v>
      </c>
      <c r="E73" s="15">
        <v>0</v>
      </c>
      <c r="F73" s="15">
        <v>450</v>
      </c>
      <c r="G73" s="15">
        <v>1500</v>
      </c>
      <c r="H73" s="15">
        <v>1500</v>
      </c>
      <c r="I73" s="15">
        <v>1500</v>
      </c>
      <c r="J73" s="15">
        <v>1564.2</v>
      </c>
      <c r="K73" s="15">
        <v>1532.1</v>
      </c>
      <c r="L73" s="15">
        <v>1532.1</v>
      </c>
      <c r="M73" s="15">
        <v>1532.1</v>
      </c>
      <c r="N73" s="15">
        <v>893.73</v>
      </c>
    </row>
    <row r="74" spans="1:14" x14ac:dyDescent="0.25">
      <c r="A74" s="10" t="s">
        <v>230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3393</v>
      </c>
      <c r="I74" s="15">
        <v>3393</v>
      </c>
      <c r="J74" s="15">
        <v>3441.18</v>
      </c>
      <c r="K74" s="15">
        <v>3417.09</v>
      </c>
      <c r="L74" s="15">
        <v>3417.09</v>
      </c>
      <c r="M74" s="15">
        <v>3417.09</v>
      </c>
      <c r="N74" s="15">
        <v>1708.55</v>
      </c>
    </row>
    <row r="75" spans="1:14" x14ac:dyDescent="0.25">
      <c r="A75" s="10" t="s">
        <v>232</v>
      </c>
      <c r="B75" s="15">
        <v>3961.6</v>
      </c>
      <c r="C75" s="15">
        <v>3961.6</v>
      </c>
      <c r="D75" s="15">
        <v>3961.6</v>
      </c>
      <c r="E75" s="15">
        <v>3961.6</v>
      </c>
      <c r="F75" s="15">
        <v>3961.6</v>
      </c>
      <c r="G75" s="15">
        <v>4000.83</v>
      </c>
      <c r="H75" s="15">
        <v>4000.83</v>
      </c>
      <c r="I75" s="15">
        <v>5573.95</v>
      </c>
      <c r="J75" s="15">
        <v>10252.92</v>
      </c>
      <c r="K75" s="15">
        <v>146.47</v>
      </c>
      <c r="L75" s="15">
        <v>4247.6400000000003</v>
      </c>
      <c r="M75" s="15">
        <v>4394.1099999999997</v>
      </c>
      <c r="N75" s="15">
        <v>4394.1099999999997</v>
      </c>
    </row>
    <row r="76" spans="1:14" x14ac:dyDescent="0.25">
      <c r="A76" s="10" t="s">
        <v>234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520</v>
      </c>
      <c r="N76" s="15">
        <v>0</v>
      </c>
    </row>
    <row r="77" spans="1:14" x14ac:dyDescent="0.25">
      <c r="A77" s="10" t="s">
        <v>236</v>
      </c>
      <c r="B77" s="15">
        <v>8525.2099999999991</v>
      </c>
      <c r="C77" s="15">
        <v>8525.2099999999991</v>
      </c>
      <c r="D77" s="15">
        <v>8525.2099999999991</v>
      </c>
      <c r="E77" s="15">
        <v>8525.2099999999991</v>
      </c>
      <c r="F77" s="15">
        <v>8525.2099999999991</v>
      </c>
      <c r="G77" s="15">
        <v>18755.46</v>
      </c>
      <c r="H77" s="15">
        <v>19833.330000000002</v>
      </c>
      <c r="I77" s="15">
        <v>3500</v>
      </c>
      <c r="J77" s="15">
        <v>12553.34</v>
      </c>
      <c r="K77" s="15">
        <v>11454.8</v>
      </c>
      <c r="L77" s="15">
        <v>11454.8</v>
      </c>
      <c r="M77" s="15">
        <v>11454.8</v>
      </c>
      <c r="N77" s="15">
        <v>11454.8</v>
      </c>
    </row>
    <row r="78" spans="1:14" x14ac:dyDescent="0.25">
      <c r="A78" s="10" t="s">
        <v>238</v>
      </c>
      <c r="B78" s="15">
        <v>15875.7</v>
      </c>
      <c r="C78" s="15">
        <v>15875.7</v>
      </c>
      <c r="D78" s="15">
        <v>34865.339999999997</v>
      </c>
      <c r="E78" s="15">
        <v>15875.7</v>
      </c>
      <c r="F78" s="15">
        <v>21547.59</v>
      </c>
      <c r="G78" s="15">
        <v>13765.74</v>
      </c>
      <c r="H78" s="15">
        <v>15875.7</v>
      </c>
      <c r="I78" s="15">
        <v>15875.7</v>
      </c>
      <c r="J78" s="15">
        <v>18594.88</v>
      </c>
      <c r="K78" s="15">
        <v>17235.29</v>
      </c>
      <c r="L78" s="15">
        <v>17235.29</v>
      </c>
      <c r="M78" s="15">
        <v>17235.29</v>
      </c>
      <c r="N78" s="15">
        <v>17235.29</v>
      </c>
    </row>
    <row r="79" spans="1:14" x14ac:dyDescent="0.25">
      <c r="A79" s="10" t="s">
        <v>240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9966.67</v>
      </c>
      <c r="H79" s="15">
        <v>13000</v>
      </c>
      <c r="I79" s="15">
        <v>13000</v>
      </c>
      <c r="J79" s="15">
        <v>13371.8</v>
      </c>
      <c r="K79" s="15">
        <v>13185.9</v>
      </c>
      <c r="L79" s="15">
        <v>13185.9</v>
      </c>
      <c r="M79" s="15">
        <v>13185.9</v>
      </c>
      <c r="N79" s="15">
        <v>7691.78</v>
      </c>
    </row>
    <row r="80" spans="1:14" x14ac:dyDescent="0.25">
      <c r="A80" s="10" t="s">
        <v>242</v>
      </c>
      <c r="B80" s="15">
        <v>6906.29</v>
      </c>
      <c r="C80" s="15">
        <v>6906.29</v>
      </c>
      <c r="D80" s="15">
        <v>6906.29</v>
      </c>
      <c r="E80" s="15">
        <v>6906.29</v>
      </c>
      <c r="F80" s="15">
        <v>6906.29</v>
      </c>
      <c r="G80" s="15">
        <v>6906.29</v>
      </c>
      <c r="H80" s="15">
        <v>6906.29</v>
      </c>
      <c r="I80" s="15">
        <v>6906.29</v>
      </c>
      <c r="J80" s="15">
        <v>8088.65</v>
      </c>
      <c r="K80" s="15">
        <v>7497.47</v>
      </c>
      <c r="L80" s="15">
        <v>7497.47</v>
      </c>
      <c r="M80" s="15">
        <v>14161.88</v>
      </c>
      <c r="N80" s="15">
        <v>7497.47</v>
      </c>
    </row>
    <row r="81" spans="1:14" x14ac:dyDescent="0.25">
      <c r="A81" s="10" t="s">
        <v>244</v>
      </c>
      <c r="B81" s="15">
        <v>8500</v>
      </c>
      <c r="C81" s="15">
        <v>8500</v>
      </c>
      <c r="D81" s="15">
        <v>8500</v>
      </c>
      <c r="E81" s="15">
        <v>8500</v>
      </c>
      <c r="F81" s="15">
        <v>8500</v>
      </c>
      <c r="G81" s="15">
        <v>8500</v>
      </c>
      <c r="H81" s="15">
        <v>8500</v>
      </c>
      <c r="I81" s="15">
        <v>8500</v>
      </c>
      <c r="J81" s="15">
        <v>9470.7000000000007</v>
      </c>
      <c r="K81" s="15">
        <v>8985.35</v>
      </c>
      <c r="L81" s="15">
        <v>8985.35</v>
      </c>
      <c r="M81" s="15">
        <v>8985.35</v>
      </c>
      <c r="N81" s="15">
        <v>8985.35</v>
      </c>
    </row>
    <row r="82" spans="1:14" x14ac:dyDescent="0.25">
      <c r="A82" s="10" t="s">
        <v>246</v>
      </c>
      <c r="B82" s="15">
        <v>14000</v>
      </c>
      <c r="C82" s="15">
        <v>14000</v>
      </c>
      <c r="D82" s="15">
        <v>14000</v>
      </c>
      <c r="E82" s="15">
        <v>14000</v>
      </c>
      <c r="F82" s="15">
        <v>14000</v>
      </c>
      <c r="G82" s="15">
        <v>14000</v>
      </c>
      <c r="H82" s="15">
        <v>14000</v>
      </c>
      <c r="I82" s="15">
        <v>14000</v>
      </c>
      <c r="J82" s="15">
        <v>15598.8</v>
      </c>
      <c r="K82" s="15">
        <v>14799.4</v>
      </c>
      <c r="L82" s="15">
        <v>14799.4</v>
      </c>
      <c r="M82" s="15">
        <v>5919.76</v>
      </c>
      <c r="N82" s="15">
        <v>14799.4</v>
      </c>
    </row>
    <row r="83" spans="1:14" x14ac:dyDescent="0.25">
      <c r="A83" s="10" t="s">
        <v>248</v>
      </c>
      <c r="B83" s="15">
        <v>0</v>
      </c>
      <c r="C83" s="15">
        <v>0</v>
      </c>
      <c r="D83" s="15">
        <v>0</v>
      </c>
      <c r="E83" s="15">
        <v>0</v>
      </c>
      <c r="F83" s="15">
        <v>4800</v>
      </c>
      <c r="G83" s="15">
        <v>9000</v>
      </c>
      <c r="H83" s="15">
        <v>9000</v>
      </c>
      <c r="I83" s="15">
        <v>9000</v>
      </c>
      <c r="J83" s="15">
        <v>9385.2000000000007</v>
      </c>
      <c r="K83" s="15">
        <v>9192.6</v>
      </c>
      <c r="L83" s="15">
        <v>9192.6</v>
      </c>
      <c r="M83" s="15">
        <v>9192.6</v>
      </c>
      <c r="N83" s="15">
        <v>6128.4</v>
      </c>
    </row>
    <row r="84" spans="1:14" x14ac:dyDescent="0.25">
      <c r="A84" s="10" t="s">
        <v>250</v>
      </c>
      <c r="B84" s="15">
        <v>28124.7</v>
      </c>
      <c r="C84" s="15">
        <v>28124.7</v>
      </c>
      <c r="D84" s="15">
        <v>95623.98</v>
      </c>
      <c r="E84" s="15">
        <v>28124.7</v>
      </c>
      <c r="F84" s="15">
        <v>52433.33</v>
      </c>
      <c r="G84" s="15">
        <v>20900</v>
      </c>
      <c r="H84" s="15">
        <v>33000</v>
      </c>
      <c r="I84" s="15">
        <v>33051</v>
      </c>
      <c r="J84" s="15">
        <v>38710.6</v>
      </c>
      <c r="K84" s="15">
        <v>35880.800000000003</v>
      </c>
      <c r="L84" s="15">
        <v>35880.800000000003</v>
      </c>
      <c r="M84" s="15">
        <v>35880.800000000003</v>
      </c>
      <c r="N84" s="15">
        <v>35880.800000000003</v>
      </c>
    </row>
    <row r="85" spans="1:14" x14ac:dyDescent="0.25">
      <c r="A85" s="10" t="s">
        <v>252</v>
      </c>
      <c r="B85" s="15">
        <v>32306.36</v>
      </c>
      <c r="C85" s="15">
        <v>32306.36</v>
      </c>
      <c r="D85" s="15">
        <v>148609.26</v>
      </c>
      <c r="E85" s="15">
        <v>1076.8800000000001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10768.79</v>
      </c>
    </row>
    <row r="86" spans="1:14" x14ac:dyDescent="0.25">
      <c r="A86" s="10" t="s">
        <v>254</v>
      </c>
      <c r="B86" s="15">
        <v>0</v>
      </c>
      <c r="C86" s="15">
        <v>0</v>
      </c>
      <c r="D86" s="15">
        <v>0</v>
      </c>
      <c r="E86" s="15">
        <v>16000</v>
      </c>
      <c r="F86" s="15">
        <v>24000</v>
      </c>
      <c r="G86" s="15">
        <v>24000</v>
      </c>
      <c r="H86" s="15">
        <v>24000</v>
      </c>
      <c r="I86" s="15">
        <v>24000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</row>
    <row r="87" spans="1:14" x14ac:dyDescent="0.25">
      <c r="A87" s="10" t="s">
        <v>256</v>
      </c>
      <c r="B87" s="15">
        <v>31175.7</v>
      </c>
      <c r="C87" s="15">
        <v>31175.7</v>
      </c>
      <c r="D87" s="15">
        <v>148178.59</v>
      </c>
      <c r="E87" s="15">
        <v>16068.49</v>
      </c>
      <c r="F87" s="15">
        <v>32085.98</v>
      </c>
      <c r="G87" s="15">
        <v>32085.98</v>
      </c>
      <c r="H87" s="15">
        <v>32085.98</v>
      </c>
      <c r="I87" s="15">
        <v>32085.98</v>
      </c>
      <c r="J87" s="15">
        <v>37580.36</v>
      </c>
      <c r="K87" s="15">
        <v>34833.17</v>
      </c>
      <c r="L87" s="15">
        <v>34833.17</v>
      </c>
      <c r="M87" s="15">
        <v>34833.17</v>
      </c>
      <c r="N87" s="15">
        <v>34833.17</v>
      </c>
    </row>
    <row r="88" spans="1:14" x14ac:dyDescent="0.25">
      <c r="A88" s="10" t="s">
        <v>258</v>
      </c>
      <c r="B88" s="15">
        <v>0</v>
      </c>
      <c r="C88" s="15">
        <v>0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10000</v>
      </c>
      <c r="N88" s="15">
        <v>1250</v>
      </c>
    </row>
    <row r="89" spans="1:14" x14ac:dyDescent="0.25">
      <c r="A89" s="10" t="s">
        <v>260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2289</v>
      </c>
      <c r="M89" s="15">
        <v>3270</v>
      </c>
      <c r="N89" s="15">
        <v>545</v>
      </c>
    </row>
    <row r="90" spans="1:14" x14ac:dyDescent="0.25">
      <c r="A90" s="10" t="s">
        <v>262</v>
      </c>
      <c r="B90" s="15">
        <v>18500</v>
      </c>
      <c r="C90" s="15">
        <v>18500</v>
      </c>
      <c r="D90" s="15">
        <v>18500</v>
      </c>
      <c r="E90" s="15">
        <v>18500</v>
      </c>
      <c r="F90" s="15">
        <v>24050</v>
      </c>
      <c r="G90" s="15">
        <v>18500</v>
      </c>
      <c r="H90" s="15">
        <v>18500</v>
      </c>
      <c r="I90" s="15">
        <v>18500</v>
      </c>
      <c r="J90" s="15">
        <v>21138.1</v>
      </c>
      <c r="K90" s="15">
        <v>19819.05</v>
      </c>
      <c r="L90" s="15">
        <v>19819.05</v>
      </c>
      <c r="M90" s="15">
        <v>24223.279999999999</v>
      </c>
      <c r="N90" s="15">
        <v>19819.05</v>
      </c>
    </row>
    <row r="91" spans="1:14" x14ac:dyDescent="0.25">
      <c r="A91" s="10" t="s">
        <v>264</v>
      </c>
      <c r="B91" s="15">
        <v>7500</v>
      </c>
      <c r="C91" s="15">
        <v>7500</v>
      </c>
      <c r="D91" s="15">
        <v>7500</v>
      </c>
      <c r="E91" s="15">
        <v>7500</v>
      </c>
      <c r="F91" s="15">
        <v>7500</v>
      </c>
      <c r="G91" s="15">
        <v>7500</v>
      </c>
      <c r="H91" s="15">
        <v>7500</v>
      </c>
      <c r="I91" s="15">
        <v>7500</v>
      </c>
      <c r="J91" s="15">
        <v>8463</v>
      </c>
      <c r="K91" s="15">
        <v>18623.5</v>
      </c>
      <c r="L91" s="15">
        <v>0</v>
      </c>
      <c r="M91" s="15">
        <v>7981.5</v>
      </c>
      <c r="N91" s="15">
        <v>7981.5</v>
      </c>
    </row>
    <row r="92" spans="1:14" x14ac:dyDescent="0.25">
      <c r="A92" s="10" t="s">
        <v>266</v>
      </c>
      <c r="B92" s="15">
        <v>32584.68</v>
      </c>
      <c r="C92" s="15">
        <v>8146.17</v>
      </c>
      <c r="D92" s="15">
        <v>33936.080000000002</v>
      </c>
      <c r="E92" s="15">
        <v>17456.080000000002</v>
      </c>
      <c r="F92" s="15">
        <v>17456.080000000002</v>
      </c>
      <c r="G92" s="15">
        <v>17456.080000000002</v>
      </c>
      <c r="H92" s="15">
        <v>17456.080000000002</v>
      </c>
      <c r="I92" s="15">
        <v>17456.080000000002</v>
      </c>
      <c r="J92" s="15">
        <v>20444.560000000001</v>
      </c>
      <c r="K92" s="15">
        <v>18950.32</v>
      </c>
      <c r="L92" s="15">
        <v>18950.32</v>
      </c>
      <c r="M92" s="15">
        <v>18950.32</v>
      </c>
      <c r="N92" s="15">
        <v>18950.32</v>
      </c>
    </row>
    <row r="93" spans="1:14" x14ac:dyDescent="0.25">
      <c r="A93" s="10" t="s">
        <v>268</v>
      </c>
      <c r="B93" s="15">
        <v>25562.35</v>
      </c>
      <c r="C93" s="15">
        <v>25562.35</v>
      </c>
      <c r="D93" s="15">
        <v>90562.35</v>
      </c>
      <c r="E93" s="15">
        <v>25562.35</v>
      </c>
      <c r="F93" s="15">
        <v>25562.35</v>
      </c>
      <c r="G93" s="15">
        <v>30000</v>
      </c>
      <c r="H93" s="15">
        <v>30000</v>
      </c>
      <c r="I93" s="15">
        <v>30000</v>
      </c>
      <c r="J93" s="15">
        <v>35136</v>
      </c>
      <c r="K93" s="15">
        <v>32568</v>
      </c>
      <c r="L93" s="15">
        <v>32568</v>
      </c>
      <c r="M93" s="15">
        <v>75992</v>
      </c>
      <c r="N93" s="15">
        <v>32568</v>
      </c>
    </row>
    <row r="94" spans="1:14" x14ac:dyDescent="0.25">
      <c r="A94" s="10" t="s">
        <v>270</v>
      </c>
      <c r="B94" s="15">
        <v>7929.73</v>
      </c>
      <c r="C94" s="15">
        <v>7929.73</v>
      </c>
      <c r="D94" s="15">
        <v>7929.73</v>
      </c>
      <c r="E94" s="15">
        <v>7929.73</v>
      </c>
      <c r="F94" s="15">
        <v>7929.73</v>
      </c>
      <c r="G94" s="15">
        <v>14978.38</v>
      </c>
      <c r="H94" s="15">
        <v>2643.24</v>
      </c>
      <c r="I94" s="15">
        <v>7929.73</v>
      </c>
      <c r="J94" s="15">
        <v>9287.2900000000009</v>
      </c>
      <c r="K94" s="15">
        <v>8608.51</v>
      </c>
      <c r="L94" s="15">
        <v>8608.51</v>
      </c>
      <c r="M94" s="15">
        <v>8608.51</v>
      </c>
      <c r="N94" s="15">
        <v>8608.51</v>
      </c>
    </row>
    <row r="95" spans="1:14" x14ac:dyDescent="0.25">
      <c r="A95" s="10" t="s">
        <v>272</v>
      </c>
      <c r="B95" s="15">
        <v>19351</v>
      </c>
      <c r="C95" s="15">
        <v>17251</v>
      </c>
      <c r="D95" s="15">
        <v>37891</v>
      </c>
      <c r="E95" s="15">
        <v>29285.9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>
        <v>5750.33</v>
      </c>
    </row>
    <row r="96" spans="1:14" x14ac:dyDescent="0.25">
      <c r="A96" s="10" t="s">
        <v>274</v>
      </c>
      <c r="B96" s="15">
        <v>3671.85</v>
      </c>
      <c r="C96" s="15">
        <v>2325.5100000000002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917.97</v>
      </c>
    </row>
    <row r="97" spans="1:14" x14ac:dyDescent="0.25">
      <c r="A97" s="10" t="s">
        <v>276</v>
      </c>
      <c r="B97" s="15">
        <v>0</v>
      </c>
      <c r="C97" s="15">
        <v>1166.67</v>
      </c>
      <c r="D97" s="15">
        <v>5000</v>
      </c>
      <c r="E97" s="15">
        <v>5000</v>
      </c>
      <c r="F97" s="15">
        <v>5000</v>
      </c>
      <c r="G97" s="15">
        <v>5000</v>
      </c>
      <c r="H97" s="15">
        <v>5000</v>
      </c>
      <c r="I97" s="15">
        <v>5000</v>
      </c>
      <c r="J97" s="15">
        <v>5428</v>
      </c>
      <c r="K97" s="15">
        <v>5214</v>
      </c>
      <c r="L97" s="15">
        <v>5214</v>
      </c>
      <c r="M97" s="15">
        <v>5214</v>
      </c>
      <c r="N97" s="15">
        <v>4345</v>
      </c>
    </row>
    <row r="98" spans="1:14" x14ac:dyDescent="0.25">
      <c r="A98" s="10" t="s">
        <v>278</v>
      </c>
      <c r="B98" s="15">
        <v>5334.59</v>
      </c>
      <c r="C98" s="15">
        <v>5334.59</v>
      </c>
      <c r="D98" s="15">
        <v>17637.88</v>
      </c>
      <c r="E98" s="15">
        <v>5334.59</v>
      </c>
      <c r="F98" s="15">
        <v>5334.59</v>
      </c>
      <c r="G98" s="15">
        <v>9371.9599999999991</v>
      </c>
      <c r="H98" s="15">
        <v>3370.86</v>
      </c>
      <c r="I98" s="15">
        <v>5466.68</v>
      </c>
      <c r="J98" s="15">
        <v>6403.84</v>
      </c>
      <c r="K98" s="15">
        <v>5935.26</v>
      </c>
      <c r="L98" s="15">
        <v>5935.26</v>
      </c>
      <c r="M98" s="15">
        <v>5935.26</v>
      </c>
      <c r="N98" s="15">
        <v>5935.26</v>
      </c>
    </row>
    <row r="99" spans="1:14" x14ac:dyDescent="0.25">
      <c r="A99" s="10" t="s">
        <v>280</v>
      </c>
      <c r="B99" s="15">
        <v>7169.91</v>
      </c>
      <c r="C99" s="15">
        <v>7169.91</v>
      </c>
      <c r="D99" s="15">
        <v>7169.91</v>
      </c>
      <c r="E99" s="15">
        <v>7169.91</v>
      </c>
      <c r="F99" s="15">
        <v>7169.91</v>
      </c>
      <c r="G99" s="15">
        <v>7169.91</v>
      </c>
      <c r="H99" s="15">
        <v>7169.91</v>
      </c>
      <c r="I99" s="15">
        <v>7169.91</v>
      </c>
      <c r="J99" s="15">
        <v>8398.67</v>
      </c>
      <c r="K99" s="15">
        <v>7784.29</v>
      </c>
      <c r="L99" s="15">
        <v>7784.29</v>
      </c>
      <c r="M99" s="15">
        <v>7784.29</v>
      </c>
      <c r="N99" s="15">
        <v>7784.29</v>
      </c>
    </row>
    <row r="100" spans="1:14" x14ac:dyDescent="0.25">
      <c r="A100" s="10" t="s">
        <v>282</v>
      </c>
      <c r="B100" s="15">
        <v>10051</v>
      </c>
      <c r="C100" s="15">
        <v>10051</v>
      </c>
      <c r="D100" s="15">
        <v>22051</v>
      </c>
      <c r="E100" s="15">
        <v>10051</v>
      </c>
      <c r="F100" s="15">
        <v>10051</v>
      </c>
      <c r="G100" s="15">
        <v>10051</v>
      </c>
      <c r="H100" s="15">
        <v>18985.23</v>
      </c>
      <c r="I100" s="15">
        <v>3384.33</v>
      </c>
      <c r="J100" s="15">
        <v>11964.32</v>
      </c>
      <c r="K100" s="15">
        <v>10912</v>
      </c>
      <c r="L100" s="15">
        <v>10912</v>
      </c>
      <c r="M100" s="15">
        <v>10912</v>
      </c>
      <c r="N100" s="15">
        <v>10912</v>
      </c>
    </row>
    <row r="101" spans="1:14" x14ac:dyDescent="0.25">
      <c r="A101" s="10" t="s">
        <v>284</v>
      </c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9333.33</v>
      </c>
      <c r="I101" s="15">
        <v>10000</v>
      </c>
      <c r="J101" s="15">
        <v>10142</v>
      </c>
      <c r="K101" s="15">
        <v>10071</v>
      </c>
      <c r="L101" s="15">
        <v>10071</v>
      </c>
      <c r="M101" s="15">
        <v>10071</v>
      </c>
      <c r="N101" s="15">
        <v>5035.5</v>
      </c>
    </row>
    <row r="102" spans="1:14" x14ac:dyDescent="0.25">
      <c r="A102" s="10" t="s">
        <v>286</v>
      </c>
      <c r="B102" s="15">
        <v>21350.3</v>
      </c>
      <c r="C102" s="15">
        <v>21350.3</v>
      </c>
      <c r="D102" s="15">
        <v>46970.66</v>
      </c>
      <c r="E102" s="15">
        <v>21350.3</v>
      </c>
      <c r="F102" s="15">
        <v>21350.3</v>
      </c>
      <c r="G102" s="15">
        <v>21350.3</v>
      </c>
      <c r="H102" s="15">
        <v>49817.37</v>
      </c>
      <c r="I102" s="15">
        <v>0</v>
      </c>
      <c r="J102" s="15">
        <v>25614.67</v>
      </c>
      <c r="K102" s="15">
        <v>23177.89</v>
      </c>
      <c r="L102" s="15">
        <v>23177.89</v>
      </c>
      <c r="M102" s="15">
        <v>23177.89</v>
      </c>
      <c r="N102" s="15">
        <v>23177.89</v>
      </c>
    </row>
    <row r="103" spans="1:14" x14ac:dyDescent="0.25">
      <c r="A103" s="10" t="s">
        <v>288</v>
      </c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1833.33</v>
      </c>
      <c r="N103" s="15">
        <v>0</v>
      </c>
    </row>
    <row r="104" spans="1:14" x14ac:dyDescent="0.25">
      <c r="A104" s="10" t="s">
        <v>290</v>
      </c>
      <c r="B104" s="15">
        <v>16000</v>
      </c>
      <c r="C104" s="15">
        <v>16000</v>
      </c>
      <c r="D104" s="15">
        <v>20800</v>
      </c>
      <c r="E104" s="15">
        <v>16000</v>
      </c>
      <c r="F104" s="15">
        <v>16000</v>
      </c>
      <c r="G104" s="15">
        <v>16000</v>
      </c>
      <c r="H104" s="15">
        <v>16000</v>
      </c>
      <c r="I104" s="15">
        <v>16000</v>
      </c>
      <c r="J104" s="15">
        <v>18281.599999999999</v>
      </c>
      <c r="K104" s="15">
        <v>29710.720000000001</v>
      </c>
      <c r="L104" s="15">
        <v>10284.48</v>
      </c>
      <c r="M104" s="15">
        <v>17140.8</v>
      </c>
      <c r="N104" s="15">
        <v>17140.8</v>
      </c>
    </row>
    <row r="105" spans="1:14" x14ac:dyDescent="0.25">
      <c r="A105" s="10" t="s">
        <v>292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4500</v>
      </c>
      <c r="H105" s="15">
        <v>4500</v>
      </c>
      <c r="I105" s="15">
        <v>4500</v>
      </c>
      <c r="J105" s="15">
        <v>4628.7</v>
      </c>
      <c r="K105" s="15">
        <v>4564.3500000000004</v>
      </c>
      <c r="L105" s="15">
        <v>4564.3500000000004</v>
      </c>
      <c r="M105" s="15">
        <v>4564.3500000000004</v>
      </c>
      <c r="N105" s="15">
        <v>2662.54</v>
      </c>
    </row>
    <row r="106" spans="1:14" x14ac:dyDescent="0.25">
      <c r="A106" s="10" t="s">
        <v>294</v>
      </c>
      <c r="B106" s="15">
        <v>5000</v>
      </c>
      <c r="C106" s="15">
        <v>5000</v>
      </c>
      <c r="D106" s="15">
        <v>5000</v>
      </c>
      <c r="E106" s="15">
        <v>5000</v>
      </c>
      <c r="F106" s="15">
        <v>5000</v>
      </c>
      <c r="G106" s="15">
        <v>5000</v>
      </c>
      <c r="H106" s="15">
        <v>5000</v>
      </c>
      <c r="I106" s="15">
        <v>5000</v>
      </c>
      <c r="J106" s="15">
        <v>5713</v>
      </c>
      <c r="K106" s="15">
        <v>5356.5</v>
      </c>
      <c r="L106" s="15">
        <v>5356.5</v>
      </c>
      <c r="M106" s="15">
        <v>5356.5</v>
      </c>
      <c r="N106" s="15">
        <v>5356.5</v>
      </c>
    </row>
    <row r="107" spans="1:14" x14ac:dyDescent="0.25">
      <c r="A107" s="10" t="s">
        <v>296</v>
      </c>
      <c r="B107" s="15">
        <v>5000</v>
      </c>
      <c r="C107" s="15">
        <v>5000</v>
      </c>
      <c r="D107" s="15">
        <v>5000</v>
      </c>
      <c r="E107" s="15">
        <v>5000</v>
      </c>
      <c r="F107" s="15">
        <v>5000</v>
      </c>
      <c r="G107" s="15">
        <v>5000</v>
      </c>
      <c r="H107" s="15">
        <v>5000</v>
      </c>
      <c r="I107" s="15">
        <v>5000</v>
      </c>
      <c r="J107" s="15">
        <v>5713</v>
      </c>
      <c r="K107" s="15">
        <v>5356.5</v>
      </c>
      <c r="L107" s="15">
        <v>5356.5</v>
      </c>
      <c r="M107" s="15">
        <v>5356.5</v>
      </c>
      <c r="N107" s="15">
        <v>5356.5</v>
      </c>
    </row>
    <row r="108" spans="1:14" x14ac:dyDescent="0.25">
      <c r="A108" s="10" t="s">
        <v>298</v>
      </c>
      <c r="B108" s="15">
        <v>9751</v>
      </c>
      <c r="C108" s="15">
        <v>9751</v>
      </c>
      <c r="D108" s="15">
        <v>21391</v>
      </c>
      <c r="E108" s="15">
        <v>9751</v>
      </c>
      <c r="F108" s="15">
        <v>9751</v>
      </c>
      <c r="G108" s="15">
        <v>9751</v>
      </c>
      <c r="H108" s="15">
        <v>9751</v>
      </c>
      <c r="I108" s="15">
        <v>9751</v>
      </c>
      <c r="J108" s="15">
        <v>14891.32</v>
      </c>
      <c r="K108" s="15">
        <v>14056</v>
      </c>
      <c r="L108" s="15">
        <v>14056</v>
      </c>
      <c r="M108" s="15">
        <v>14056</v>
      </c>
      <c r="N108" s="15">
        <v>14056</v>
      </c>
    </row>
    <row r="109" spans="1:14" x14ac:dyDescent="0.25">
      <c r="A109" s="10" t="s">
        <v>300</v>
      </c>
      <c r="B109" s="15">
        <v>7738.35</v>
      </c>
      <c r="C109" s="15">
        <v>7738.35</v>
      </c>
      <c r="D109" s="15">
        <v>13929.03</v>
      </c>
      <c r="E109" s="15">
        <v>7738.35</v>
      </c>
      <c r="F109" s="15">
        <v>7738.35</v>
      </c>
      <c r="G109" s="15">
        <v>13929.03</v>
      </c>
      <c r="H109" s="15">
        <v>4127.12</v>
      </c>
      <c r="I109" s="15">
        <v>7738.35</v>
      </c>
      <c r="J109" s="15">
        <v>9063.15</v>
      </c>
      <c r="K109" s="15">
        <v>8400.75</v>
      </c>
      <c r="L109" s="15">
        <v>8400.75</v>
      </c>
      <c r="M109" s="15">
        <v>8400.75</v>
      </c>
      <c r="N109" s="15">
        <v>8400.75</v>
      </c>
    </row>
    <row r="110" spans="1:14" x14ac:dyDescent="0.25">
      <c r="A110" s="10" t="s">
        <v>302</v>
      </c>
      <c r="B110" s="15">
        <v>2098.1999999999998</v>
      </c>
      <c r="C110" s="15">
        <v>2098.1999999999998</v>
      </c>
      <c r="D110" s="15">
        <v>2098.1999999999998</v>
      </c>
      <c r="E110" s="15">
        <v>2098.1999999999998</v>
      </c>
      <c r="F110" s="15">
        <v>2098.1999999999998</v>
      </c>
      <c r="G110" s="15">
        <v>4895.8</v>
      </c>
      <c r="H110" s="15">
        <v>139.88</v>
      </c>
      <c r="I110" s="15">
        <v>1958.32</v>
      </c>
      <c r="J110" s="15">
        <v>2445.4499999999998</v>
      </c>
      <c r="K110" s="15">
        <v>2277.81</v>
      </c>
      <c r="L110" s="15">
        <v>2277.81</v>
      </c>
      <c r="M110" s="15">
        <v>2277.81</v>
      </c>
      <c r="N110" s="15">
        <v>2277.81</v>
      </c>
    </row>
    <row r="111" spans="1:14" x14ac:dyDescent="0.25">
      <c r="A111" s="10" t="s">
        <v>304</v>
      </c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G111" s="15">
        <v>0</v>
      </c>
      <c r="H111" s="15">
        <v>1918.93</v>
      </c>
      <c r="I111" s="15">
        <v>2056</v>
      </c>
      <c r="J111" s="15">
        <v>2085.1999999999998</v>
      </c>
      <c r="K111" s="15">
        <v>2070.6</v>
      </c>
      <c r="L111" s="15">
        <v>2070.6</v>
      </c>
      <c r="M111" s="15">
        <v>2070.6</v>
      </c>
      <c r="N111" s="15">
        <v>1035.3</v>
      </c>
    </row>
    <row r="112" spans="1:14" x14ac:dyDescent="0.25">
      <c r="A112" s="10" t="s">
        <v>306</v>
      </c>
      <c r="B112" s="15">
        <v>6000</v>
      </c>
      <c r="C112" s="15">
        <v>6000</v>
      </c>
      <c r="D112" s="15">
        <v>6000</v>
      </c>
      <c r="E112" s="15">
        <v>6000</v>
      </c>
      <c r="F112" s="15">
        <v>6000</v>
      </c>
      <c r="G112" s="15">
        <v>6000</v>
      </c>
      <c r="H112" s="15">
        <v>6000</v>
      </c>
      <c r="I112" s="15">
        <v>7572.8</v>
      </c>
      <c r="J112" s="15">
        <v>6393.2</v>
      </c>
      <c r="K112" s="15">
        <v>6457.13</v>
      </c>
      <c r="L112" s="15">
        <v>6457.13</v>
      </c>
      <c r="M112" s="15">
        <v>12268.55</v>
      </c>
      <c r="N112" s="15">
        <v>6457.13</v>
      </c>
    </row>
    <row r="113" spans="1:14" x14ac:dyDescent="0.25">
      <c r="A113" s="10" t="s">
        <v>308</v>
      </c>
      <c r="B113" s="15">
        <v>0</v>
      </c>
      <c r="C113" s="15">
        <v>0</v>
      </c>
      <c r="D113" s="15">
        <v>0</v>
      </c>
      <c r="E113" s="15">
        <v>0</v>
      </c>
      <c r="F113" s="15">
        <v>450</v>
      </c>
      <c r="G113" s="15">
        <v>1500</v>
      </c>
      <c r="H113" s="15">
        <v>1500</v>
      </c>
      <c r="I113" s="15">
        <v>1500</v>
      </c>
      <c r="J113" s="15">
        <v>1564.2</v>
      </c>
      <c r="K113" s="15">
        <v>1532.1</v>
      </c>
      <c r="L113" s="15">
        <v>1532.1</v>
      </c>
      <c r="M113" s="15">
        <v>1532.1</v>
      </c>
      <c r="N113" s="15">
        <v>893.73</v>
      </c>
    </row>
    <row r="114" spans="1:14" x14ac:dyDescent="0.25">
      <c r="A114" s="10" t="s">
        <v>310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6860.43</v>
      </c>
      <c r="H114" s="15">
        <v>7097</v>
      </c>
      <c r="I114" s="15">
        <v>7097</v>
      </c>
      <c r="J114" s="15">
        <v>7299.98</v>
      </c>
      <c r="K114" s="15">
        <v>7198.49</v>
      </c>
      <c r="L114" s="15">
        <v>7198.49</v>
      </c>
      <c r="M114" s="15">
        <v>7198.49</v>
      </c>
      <c r="N114" s="15">
        <v>4199.12</v>
      </c>
    </row>
    <row r="115" spans="1:14" x14ac:dyDescent="0.25">
      <c r="A115" s="10" t="s">
        <v>312</v>
      </c>
      <c r="B115" s="15">
        <v>5192.6400000000003</v>
      </c>
      <c r="C115" s="15">
        <v>5192.6400000000003</v>
      </c>
      <c r="D115" s="15">
        <v>5192.6400000000003</v>
      </c>
      <c r="E115" s="15">
        <v>5192.6400000000003</v>
      </c>
      <c r="F115" s="15">
        <v>5365.73</v>
      </c>
      <c r="G115" s="15">
        <v>5192.6400000000003</v>
      </c>
      <c r="H115" s="15">
        <v>5365.73</v>
      </c>
      <c r="I115" s="15">
        <v>9519.84</v>
      </c>
      <c r="J115" s="15">
        <v>3618.65</v>
      </c>
      <c r="K115" s="15">
        <v>5937.13</v>
      </c>
      <c r="L115" s="15">
        <v>5937.13</v>
      </c>
      <c r="M115" s="15">
        <v>5937.13</v>
      </c>
      <c r="N115" s="15">
        <v>5637.13</v>
      </c>
    </row>
    <row r="116" spans="1:14" x14ac:dyDescent="0.25">
      <c r="A116" s="10" t="s">
        <v>314</v>
      </c>
      <c r="B116" s="15">
        <v>7676.99</v>
      </c>
      <c r="C116" s="15">
        <v>23030.98</v>
      </c>
      <c r="D116" s="15">
        <v>76449.570000000007</v>
      </c>
      <c r="E116" s="15">
        <v>23030.98</v>
      </c>
      <c r="F116" s="15">
        <v>23030.98</v>
      </c>
      <c r="G116" s="15">
        <v>23030.98</v>
      </c>
      <c r="H116" s="15">
        <v>23030.98</v>
      </c>
      <c r="I116" s="15">
        <v>23030.98</v>
      </c>
      <c r="J116" s="15">
        <v>49198.27</v>
      </c>
      <c r="K116" s="15">
        <v>8334.14</v>
      </c>
      <c r="L116" s="15">
        <v>25002.43</v>
      </c>
      <c r="M116" s="15">
        <v>25002.43</v>
      </c>
      <c r="N116" s="15">
        <v>25002.43</v>
      </c>
    </row>
    <row r="117" spans="1:14" x14ac:dyDescent="0.25">
      <c r="A117" s="10" t="s">
        <v>316</v>
      </c>
      <c r="B117" s="15">
        <v>7483.6</v>
      </c>
      <c r="C117" s="15">
        <v>7483.6</v>
      </c>
      <c r="D117" s="15">
        <v>14893.1</v>
      </c>
      <c r="E117" s="15">
        <v>7483.6</v>
      </c>
      <c r="F117" s="15">
        <v>7483.6</v>
      </c>
      <c r="G117" s="15">
        <v>7483.6</v>
      </c>
      <c r="H117" s="15">
        <v>7483.6</v>
      </c>
      <c r="I117" s="15">
        <v>10426.08</v>
      </c>
      <c r="J117" s="15">
        <v>8219.2199999999993</v>
      </c>
      <c r="K117" s="15">
        <v>21420</v>
      </c>
      <c r="L117" s="15">
        <v>612</v>
      </c>
      <c r="M117" s="15">
        <v>7284</v>
      </c>
      <c r="N117" s="15">
        <v>10710</v>
      </c>
    </row>
    <row r="118" spans="1:14" x14ac:dyDescent="0.25">
      <c r="A118" s="10" t="s">
        <v>318</v>
      </c>
      <c r="B118" s="15">
        <v>8551</v>
      </c>
      <c r="C118" s="15">
        <v>8551</v>
      </c>
      <c r="D118" s="15">
        <v>25551</v>
      </c>
      <c r="E118" s="15">
        <v>8551</v>
      </c>
      <c r="F118" s="15">
        <v>8551</v>
      </c>
      <c r="G118" s="15">
        <v>16151.89</v>
      </c>
      <c r="H118" s="15">
        <v>2884.33</v>
      </c>
      <c r="I118" s="15">
        <v>8551</v>
      </c>
      <c r="J118" s="15">
        <v>10016.200000000001</v>
      </c>
      <c r="K118" s="15">
        <v>9283.6</v>
      </c>
      <c r="L118" s="15">
        <v>9283.6</v>
      </c>
      <c r="M118" s="15">
        <v>9283.6</v>
      </c>
      <c r="N118" s="15">
        <v>9283.6</v>
      </c>
    </row>
    <row r="119" spans="1:14" x14ac:dyDescent="0.25">
      <c r="A119" s="10" t="s">
        <v>320</v>
      </c>
      <c r="B119" s="15">
        <v>2164.61</v>
      </c>
      <c r="C119" s="15">
        <v>30304.49</v>
      </c>
      <c r="D119" s="15">
        <v>147469.1</v>
      </c>
      <c r="E119" s="15">
        <v>32469.1</v>
      </c>
      <c r="F119" s="15">
        <v>32469.1</v>
      </c>
      <c r="G119" s="15">
        <v>32469.1</v>
      </c>
      <c r="H119" s="15">
        <v>32469.1</v>
      </c>
      <c r="I119" s="15">
        <v>32469.1</v>
      </c>
      <c r="J119" s="15">
        <v>38027.800000000003</v>
      </c>
      <c r="K119" s="15">
        <v>35248.449999999997</v>
      </c>
      <c r="L119" s="15">
        <v>35248.449999999997</v>
      </c>
      <c r="M119" s="15">
        <v>35248.449999999997</v>
      </c>
      <c r="N119" s="15">
        <v>35248.449999999997</v>
      </c>
    </row>
    <row r="120" spans="1:14" x14ac:dyDescent="0.25">
      <c r="A120" s="10" t="s">
        <v>322</v>
      </c>
      <c r="B120" s="15">
        <v>14700</v>
      </c>
      <c r="C120" s="15">
        <v>6300</v>
      </c>
      <c r="D120" s="15">
        <v>19800</v>
      </c>
      <c r="E120" s="15">
        <v>9000</v>
      </c>
      <c r="F120" s="15">
        <v>9000</v>
      </c>
      <c r="G120" s="15">
        <v>9000</v>
      </c>
      <c r="H120" s="15">
        <v>9000</v>
      </c>
      <c r="I120" s="15">
        <v>9000</v>
      </c>
      <c r="J120" s="15">
        <v>10540.8</v>
      </c>
      <c r="K120" s="15">
        <v>16027.2</v>
      </c>
      <c r="L120" s="15">
        <v>10856</v>
      </c>
      <c r="M120" s="15">
        <v>10856</v>
      </c>
      <c r="N120" s="15">
        <v>10856</v>
      </c>
    </row>
    <row r="121" spans="1:14" x14ac:dyDescent="0.25">
      <c r="A121" s="10" t="s">
        <v>324</v>
      </c>
      <c r="B121" s="15">
        <v>0</v>
      </c>
      <c r="C121" s="15">
        <v>1283.33</v>
      </c>
      <c r="D121" s="15">
        <v>5500</v>
      </c>
      <c r="E121" s="15">
        <v>5500</v>
      </c>
      <c r="F121" s="15">
        <v>5500</v>
      </c>
      <c r="G121" s="15">
        <v>5500</v>
      </c>
      <c r="H121" s="15">
        <v>5500</v>
      </c>
      <c r="I121" s="15">
        <v>5500</v>
      </c>
      <c r="J121" s="15">
        <v>5970.8</v>
      </c>
      <c r="K121" s="15">
        <v>5735.4</v>
      </c>
      <c r="L121" s="15">
        <v>5735.4</v>
      </c>
      <c r="M121" s="15">
        <v>5735.4</v>
      </c>
      <c r="N121" s="15">
        <v>4779.5</v>
      </c>
    </row>
    <row r="122" spans="1:14" x14ac:dyDescent="0.25">
      <c r="A122" s="10" t="s">
        <v>326</v>
      </c>
      <c r="B122" s="15">
        <v>6805.39</v>
      </c>
      <c r="C122" s="15">
        <v>6805.39</v>
      </c>
      <c r="D122" s="15">
        <v>6805.39</v>
      </c>
      <c r="E122" s="15">
        <v>6805.39</v>
      </c>
      <c r="F122" s="15">
        <v>6805.39</v>
      </c>
      <c r="G122" s="15">
        <v>12854.63</v>
      </c>
      <c r="H122" s="15">
        <v>2302.46</v>
      </c>
      <c r="I122" s="15">
        <v>6805.39</v>
      </c>
      <c r="J122" s="15">
        <v>7971.75</v>
      </c>
      <c r="K122" s="15">
        <v>7388.57</v>
      </c>
      <c r="L122" s="15">
        <v>7388.57</v>
      </c>
      <c r="M122" s="15">
        <v>7388.57</v>
      </c>
      <c r="N122" s="15">
        <v>7388.57</v>
      </c>
    </row>
    <row r="123" spans="1:14" x14ac:dyDescent="0.25">
      <c r="A123" s="10" t="s">
        <v>328</v>
      </c>
      <c r="B123" s="15">
        <v>6000</v>
      </c>
      <c r="C123" s="15">
        <v>6000</v>
      </c>
      <c r="D123" s="15">
        <v>6000</v>
      </c>
      <c r="E123" s="15">
        <v>6000</v>
      </c>
      <c r="F123" s="15">
        <v>6000</v>
      </c>
      <c r="G123" s="15">
        <v>6000</v>
      </c>
      <c r="H123" s="15">
        <v>6000</v>
      </c>
      <c r="I123" s="15">
        <v>6000</v>
      </c>
      <c r="J123" s="15">
        <v>6855.6</v>
      </c>
      <c r="K123" s="15">
        <v>6427.8</v>
      </c>
      <c r="L123" s="15">
        <v>6427.8</v>
      </c>
      <c r="M123" s="15">
        <v>6427.8</v>
      </c>
      <c r="N123" s="15">
        <v>6427.8</v>
      </c>
    </row>
    <row r="124" spans="1:14" x14ac:dyDescent="0.25">
      <c r="A124" s="10" t="s">
        <v>330</v>
      </c>
      <c r="B124" s="15">
        <v>0</v>
      </c>
      <c r="C124" s="15">
        <v>0</v>
      </c>
      <c r="D124" s="15">
        <v>0</v>
      </c>
      <c r="E124" s="15">
        <v>580</v>
      </c>
      <c r="F124" s="15">
        <v>2900</v>
      </c>
      <c r="G124" s="15">
        <v>2900</v>
      </c>
      <c r="H124" s="15">
        <v>2900</v>
      </c>
      <c r="I124" s="15">
        <v>2900</v>
      </c>
      <c r="J124" s="15">
        <v>3065.3</v>
      </c>
      <c r="K124" s="15">
        <v>2982.65</v>
      </c>
      <c r="L124" s="15">
        <v>2982.65</v>
      </c>
      <c r="M124" s="15">
        <v>2982.65</v>
      </c>
      <c r="N124" s="15">
        <v>1988.43</v>
      </c>
    </row>
    <row r="125" spans="1:14" x14ac:dyDescent="0.25">
      <c r="A125" s="10" t="s">
        <v>332</v>
      </c>
      <c r="B125" s="15">
        <v>18475.689999999999</v>
      </c>
      <c r="C125" s="15">
        <v>18475.689999999999</v>
      </c>
      <c r="D125" s="15">
        <v>42001.69</v>
      </c>
      <c r="E125" s="15">
        <v>18475.689999999999</v>
      </c>
      <c r="F125" s="15">
        <v>18475.689999999999</v>
      </c>
      <c r="G125" s="15">
        <v>18475.689999999999</v>
      </c>
      <c r="H125" s="15">
        <v>18475.689999999999</v>
      </c>
      <c r="I125" s="15">
        <v>24515.67</v>
      </c>
      <c r="J125" s="15">
        <v>20146.830000000002</v>
      </c>
      <c r="K125" s="15">
        <v>0</v>
      </c>
      <c r="L125" s="15">
        <v>0</v>
      </c>
      <c r="M125" s="15">
        <v>0</v>
      </c>
      <c r="N125" s="15">
        <v>0</v>
      </c>
    </row>
    <row r="126" spans="1:14" x14ac:dyDescent="0.25">
      <c r="A126" s="10" t="s">
        <v>334</v>
      </c>
      <c r="B126" s="15">
        <v>17000</v>
      </c>
      <c r="C126" s="15">
        <v>17000</v>
      </c>
      <c r="D126" s="15">
        <v>27200</v>
      </c>
      <c r="E126" s="15">
        <v>17000</v>
      </c>
      <c r="F126" s="15">
        <v>17000</v>
      </c>
      <c r="G126" s="15">
        <v>17000</v>
      </c>
      <c r="H126" s="15">
        <v>17000</v>
      </c>
      <c r="I126" s="15">
        <v>17000</v>
      </c>
      <c r="J126" s="15">
        <v>19910.400000000001</v>
      </c>
      <c r="K126" s="15">
        <v>22556.36</v>
      </c>
      <c r="L126" s="15">
        <v>18455.2</v>
      </c>
      <c r="M126" s="15">
        <v>18455.2</v>
      </c>
      <c r="N126" s="15">
        <v>18455.2</v>
      </c>
    </row>
    <row r="127" spans="1:14" x14ac:dyDescent="0.25">
      <c r="A127" s="10" t="s">
        <v>336</v>
      </c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7283.73</v>
      </c>
      <c r="I127" s="15">
        <v>7804</v>
      </c>
      <c r="J127" s="15">
        <v>7914.82</v>
      </c>
      <c r="K127" s="15">
        <v>7859.41</v>
      </c>
      <c r="L127" s="15">
        <v>7859.41</v>
      </c>
      <c r="M127" s="15">
        <v>7859.41</v>
      </c>
      <c r="N127" s="15">
        <v>3929.71</v>
      </c>
    </row>
    <row r="128" spans="1:14" x14ac:dyDescent="0.25">
      <c r="A128" s="10" t="s">
        <v>338</v>
      </c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3070</v>
      </c>
      <c r="I128" s="15">
        <v>3070</v>
      </c>
      <c r="J128" s="15">
        <v>3113.6</v>
      </c>
      <c r="K128" s="15">
        <v>3091.8</v>
      </c>
      <c r="L128" s="15">
        <v>3091.8</v>
      </c>
      <c r="M128" s="15">
        <v>3091.8</v>
      </c>
      <c r="N128" s="15">
        <v>1545.9</v>
      </c>
    </row>
    <row r="129" spans="1:14" x14ac:dyDescent="0.25">
      <c r="A129" s="10" t="s">
        <v>340</v>
      </c>
      <c r="B129" s="15">
        <v>7350.33</v>
      </c>
      <c r="C129" s="15">
        <v>22051</v>
      </c>
      <c r="D129" s="15">
        <v>48451</v>
      </c>
      <c r="E129" s="15">
        <v>22051</v>
      </c>
      <c r="F129" s="15">
        <v>22051</v>
      </c>
      <c r="G129" s="15">
        <v>22051</v>
      </c>
      <c r="H129" s="15">
        <v>22051</v>
      </c>
      <c r="I129" s="15">
        <v>22051</v>
      </c>
      <c r="J129" s="15">
        <v>25827.4</v>
      </c>
      <c r="K129" s="15">
        <v>23939.200000000001</v>
      </c>
      <c r="L129" s="15">
        <v>23939.200000000001</v>
      </c>
      <c r="M129" s="15">
        <v>45218.49</v>
      </c>
      <c r="N129" s="15">
        <v>23939.200000000001</v>
      </c>
    </row>
    <row r="130" spans="1:14" x14ac:dyDescent="0.25">
      <c r="A130" s="10" t="s">
        <v>342</v>
      </c>
      <c r="B130" s="15">
        <v>0</v>
      </c>
      <c r="C130" s="15">
        <v>0</v>
      </c>
      <c r="D130" s="15">
        <v>0</v>
      </c>
      <c r="E130" s="15">
        <v>0</v>
      </c>
      <c r="F130" s="15">
        <v>0</v>
      </c>
      <c r="G130" s="15">
        <v>0</v>
      </c>
      <c r="H130" s="15">
        <v>1866.67</v>
      </c>
      <c r="I130" s="15">
        <v>2183.6999999999998</v>
      </c>
      <c r="J130" s="15">
        <v>2029.76</v>
      </c>
      <c r="K130" s="15">
        <v>2014.2</v>
      </c>
      <c r="L130" s="15">
        <v>2014.2</v>
      </c>
      <c r="M130" s="15">
        <v>2339.89</v>
      </c>
      <c r="N130" s="15">
        <v>1022.51</v>
      </c>
    </row>
    <row r="131" spans="1:14" x14ac:dyDescent="0.25">
      <c r="A131" s="10" t="s">
        <v>344</v>
      </c>
      <c r="B131" s="15">
        <v>9764.48</v>
      </c>
      <c r="C131" s="15">
        <v>9764.48</v>
      </c>
      <c r="D131" s="15">
        <v>21481.48</v>
      </c>
      <c r="E131" s="15">
        <v>9764.48</v>
      </c>
      <c r="F131" s="15">
        <v>10089.959999999999</v>
      </c>
      <c r="G131" s="15">
        <v>9764.48</v>
      </c>
      <c r="H131" s="15">
        <v>10089.959999999999</v>
      </c>
      <c r="I131" s="15">
        <v>9764.48</v>
      </c>
      <c r="J131" s="15">
        <v>11436.16</v>
      </c>
      <c r="K131" s="15">
        <v>10600.32</v>
      </c>
      <c r="L131" s="15">
        <v>10600.32</v>
      </c>
      <c r="M131" s="15">
        <v>10600.32</v>
      </c>
      <c r="N131" s="15">
        <v>10600.32</v>
      </c>
    </row>
    <row r="132" spans="1:14" x14ac:dyDescent="0.25">
      <c r="A132" s="10" t="s">
        <v>346</v>
      </c>
      <c r="B132" s="15">
        <v>9937.15</v>
      </c>
      <c r="C132" s="15">
        <v>9937.15</v>
      </c>
      <c r="D132" s="15">
        <v>26631.56</v>
      </c>
      <c r="E132" s="15">
        <v>11129.61</v>
      </c>
      <c r="F132" s="15">
        <v>11924.58</v>
      </c>
      <c r="G132" s="15">
        <v>11924.58</v>
      </c>
      <c r="H132" s="15">
        <v>11924.58</v>
      </c>
      <c r="I132" s="15">
        <v>11924.58</v>
      </c>
      <c r="J132" s="15">
        <v>13966.06</v>
      </c>
      <c r="K132" s="15">
        <v>12945.32</v>
      </c>
      <c r="L132" s="15">
        <v>12945.32</v>
      </c>
      <c r="M132" s="15">
        <v>12945.32</v>
      </c>
      <c r="N132" s="15">
        <v>12945.32</v>
      </c>
    </row>
    <row r="133" spans="1:14" x14ac:dyDescent="0.25">
      <c r="A133" s="10" t="s">
        <v>348</v>
      </c>
      <c r="B133" s="15">
        <v>540.02</v>
      </c>
      <c r="C133" s="15">
        <v>8100.3</v>
      </c>
      <c r="D133" s="15">
        <v>8100.3</v>
      </c>
      <c r="E133" s="15">
        <v>8100.3</v>
      </c>
      <c r="F133" s="15">
        <v>8100.3</v>
      </c>
      <c r="G133" s="15">
        <v>8100.3</v>
      </c>
      <c r="H133" s="15">
        <v>8100.3</v>
      </c>
      <c r="I133" s="15">
        <v>8100.3</v>
      </c>
      <c r="J133" s="15">
        <v>9489.6</v>
      </c>
      <c r="K133" s="15">
        <v>8794.9500000000007</v>
      </c>
      <c r="L133" s="15">
        <v>8794.9500000000007</v>
      </c>
      <c r="M133" s="15">
        <v>20521.55</v>
      </c>
      <c r="N133" s="15">
        <v>8794.9500000000007</v>
      </c>
    </row>
    <row r="134" spans="1:14" x14ac:dyDescent="0.25">
      <c r="A134" s="10" t="s">
        <v>350</v>
      </c>
      <c r="B134" s="15">
        <v>4720.95</v>
      </c>
      <c r="C134" s="15">
        <v>8917.35</v>
      </c>
      <c r="D134" s="15">
        <v>2727.66</v>
      </c>
      <c r="E134" s="15">
        <v>5665.14</v>
      </c>
      <c r="F134" s="15">
        <v>5665.14</v>
      </c>
      <c r="G134" s="15">
        <v>5665.14</v>
      </c>
      <c r="H134" s="15">
        <v>5665.14</v>
      </c>
      <c r="I134" s="15">
        <v>5665.14</v>
      </c>
      <c r="J134" s="15">
        <v>6635.02</v>
      </c>
      <c r="K134" s="15">
        <v>6150.08</v>
      </c>
      <c r="L134" s="15">
        <v>6150.08</v>
      </c>
      <c r="M134" s="15">
        <v>6150.08</v>
      </c>
      <c r="N134" s="15">
        <v>6150.08</v>
      </c>
    </row>
    <row r="135" spans="1:14" x14ac:dyDescent="0.25">
      <c r="A135" s="10" t="s">
        <v>352</v>
      </c>
      <c r="B135" s="15">
        <v>7938.55</v>
      </c>
      <c r="C135" s="15">
        <v>7938.55</v>
      </c>
      <c r="D135" s="15">
        <v>7938.55</v>
      </c>
      <c r="E135" s="15">
        <v>13230.91</v>
      </c>
      <c r="F135" s="15">
        <v>5292.37</v>
      </c>
      <c r="G135" s="15">
        <v>7938.55</v>
      </c>
      <c r="H135" s="15">
        <v>7938.55</v>
      </c>
      <c r="I135" s="15">
        <v>7938.55</v>
      </c>
      <c r="J135" s="15">
        <v>9297.6299999999992</v>
      </c>
      <c r="K135" s="15">
        <v>8618.09</v>
      </c>
      <c r="L135" s="15">
        <v>8618.09</v>
      </c>
      <c r="M135" s="15">
        <v>8618.09</v>
      </c>
      <c r="N135" s="15">
        <v>8618.09</v>
      </c>
    </row>
    <row r="136" spans="1:14" x14ac:dyDescent="0.25">
      <c r="A136" s="10" t="s">
        <v>354</v>
      </c>
      <c r="B136" s="15">
        <v>14000</v>
      </c>
      <c r="C136" s="15">
        <v>14000</v>
      </c>
      <c r="D136" s="15">
        <v>60666.67</v>
      </c>
      <c r="E136" s="15">
        <v>0</v>
      </c>
      <c r="F136" s="15">
        <v>14000</v>
      </c>
      <c r="G136" s="15">
        <v>14000</v>
      </c>
      <c r="H136" s="15">
        <v>14000</v>
      </c>
      <c r="I136" s="15">
        <v>14000</v>
      </c>
      <c r="J136" s="15">
        <v>16396.8</v>
      </c>
      <c r="K136" s="15">
        <v>26681.64</v>
      </c>
      <c r="L136" s="15">
        <v>14691.79</v>
      </c>
      <c r="M136" s="15">
        <v>15198.4</v>
      </c>
      <c r="N136" s="15">
        <v>15198.4</v>
      </c>
    </row>
    <row r="137" spans="1:14" x14ac:dyDescent="0.25">
      <c r="A137" s="10" t="s">
        <v>356</v>
      </c>
      <c r="B137" s="15">
        <v>14175.7</v>
      </c>
      <c r="C137" s="15">
        <v>14175.7</v>
      </c>
      <c r="D137" s="15">
        <v>17119.7</v>
      </c>
      <c r="E137" s="15">
        <v>14175.7</v>
      </c>
      <c r="F137" s="15">
        <v>22538.92</v>
      </c>
      <c r="G137" s="15">
        <v>8996.64</v>
      </c>
      <c r="H137" s="15">
        <v>14175.7</v>
      </c>
      <c r="I137" s="15">
        <v>14175.7</v>
      </c>
      <c r="J137" s="15">
        <v>16603.84</v>
      </c>
      <c r="K137" s="15">
        <v>15389.77</v>
      </c>
      <c r="L137" s="15">
        <v>15461.33</v>
      </c>
      <c r="M137" s="15">
        <v>16018.5</v>
      </c>
      <c r="N137" s="15">
        <v>15389.77</v>
      </c>
    </row>
    <row r="138" spans="1:14" x14ac:dyDescent="0.25">
      <c r="A138" s="10" t="s">
        <v>358</v>
      </c>
      <c r="B138" s="15">
        <v>3671.85</v>
      </c>
      <c r="C138" s="15">
        <v>3549.46</v>
      </c>
      <c r="D138" s="15">
        <v>3794.25</v>
      </c>
      <c r="E138" s="15">
        <v>3671.85</v>
      </c>
      <c r="F138" s="15">
        <v>3671.85</v>
      </c>
      <c r="G138" s="15">
        <v>3671.85</v>
      </c>
      <c r="H138" s="15">
        <v>3671.85</v>
      </c>
      <c r="I138" s="15">
        <v>3671.85</v>
      </c>
      <c r="J138" s="15">
        <v>4300.47</v>
      </c>
      <c r="K138" s="15">
        <v>3986.16</v>
      </c>
      <c r="L138" s="15">
        <v>3986.16</v>
      </c>
      <c r="M138" s="15">
        <v>9301.0400000000009</v>
      </c>
      <c r="N138" s="15">
        <v>3986.16</v>
      </c>
    </row>
    <row r="139" spans="1:14" x14ac:dyDescent="0.25">
      <c r="A139" s="10" t="s">
        <v>360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3070</v>
      </c>
      <c r="I139" s="15">
        <v>3070</v>
      </c>
      <c r="J139" s="15">
        <v>3113.6</v>
      </c>
      <c r="K139" s="15">
        <v>3091.8</v>
      </c>
      <c r="L139" s="15">
        <v>3091.8</v>
      </c>
      <c r="M139" s="15">
        <v>3091.8</v>
      </c>
      <c r="N139" s="15">
        <v>1545.9</v>
      </c>
    </row>
    <row r="140" spans="1:14" x14ac:dyDescent="0.25">
      <c r="A140" s="10" t="s">
        <v>362</v>
      </c>
      <c r="B140" s="15">
        <v>7575</v>
      </c>
      <c r="C140" s="15">
        <v>7575</v>
      </c>
      <c r="D140" s="15">
        <v>7575</v>
      </c>
      <c r="E140" s="15">
        <v>7575</v>
      </c>
      <c r="F140" s="15">
        <v>7575</v>
      </c>
      <c r="G140" s="15">
        <v>14308.33</v>
      </c>
      <c r="H140" s="15">
        <v>2525</v>
      </c>
      <c r="I140" s="15">
        <v>10710.92</v>
      </c>
      <c r="J140" s="15">
        <v>8402</v>
      </c>
      <c r="K140" s="15">
        <v>8402</v>
      </c>
      <c r="L140" s="15">
        <v>8402</v>
      </c>
      <c r="M140" s="15">
        <v>8402</v>
      </c>
      <c r="N140" s="15">
        <v>8402</v>
      </c>
    </row>
    <row r="141" spans="1:14" x14ac:dyDescent="0.25">
      <c r="A141" s="10" t="s">
        <v>364</v>
      </c>
      <c r="B141" s="15">
        <v>12021.35</v>
      </c>
      <c r="C141" s="15">
        <v>12021.35</v>
      </c>
      <c r="D141" s="15">
        <v>26385.77</v>
      </c>
      <c r="E141" s="15">
        <v>12021.35</v>
      </c>
      <c r="F141" s="15">
        <v>14051</v>
      </c>
      <c r="G141" s="15">
        <v>14051</v>
      </c>
      <c r="H141" s="15">
        <v>22985.67</v>
      </c>
      <c r="I141" s="15">
        <v>9851</v>
      </c>
      <c r="J141" s="15">
        <v>16096.78</v>
      </c>
      <c r="K141" s="15">
        <v>15254.4</v>
      </c>
      <c r="L141" s="15">
        <v>15254.4</v>
      </c>
      <c r="M141" s="15">
        <v>15254.4</v>
      </c>
      <c r="N141" s="15">
        <v>15254.4</v>
      </c>
    </row>
    <row r="142" spans="1:14" x14ac:dyDescent="0.25">
      <c r="A142" s="10" t="s">
        <v>366</v>
      </c>
      <c r="B142" s="15">
        <v>15000</v>
      </c>
      <c r="C142" s="15">
        <v>15000</v>
      </c>
      <c r="D142" s="15">
        <v>30000</v>
      </c>
      <c r="E142" s="15">
        <v>15000</v>
      </c>
      <c r="F142" s="15">
        <v>15000</v>
      </c>
      <c r="G142" s="15">
        <v>15000</v>
      </c>
      <c r="H142" s="15">
        <v>15000</v>
      </c>
      <c r="I142" s="15">
        <v>15000</v>
      </c>
      <c r="J142" s="15">
        <v>17139</v>
      </c>
      <c r="K142" s="15">
        <v>26068.3</v>
      </c>
      <c r="L142" s="15">
        <v>9641.7000000000007</v>
      </c>
      <c r="M142" s="15">
        <v>16069.5</v>
      </c>
      <c r="N142" s="15">
        <v>16069.5</v>
      </c>
    </row>
    <row r="143" spans="1:14" x14ac:dyDescent="0.25">
      <c r="A143" s="10" t="s">
        <v>368</v>
      </c>
      <c r="B143" s="15">
        <v>5000</v>
      </c>
      <c r="C143" s="15">
        <v>5000</v>
      </c>
      <c r="D143" s="15">
        <v>5000</v>
      </c>
      <c r="E143" s="15">
        <v>5000</v>
      </c>
      <c r="F143" s="15">
        <v>5000</v>
      </c>
      <c r="G143" s="15">
        <v>5000</v>
      </c>
      <c r="H143" s="15">
        <v>5000</v>
      </c>
      <c r="I143" s="15">
        <v>5000</v>
      </c>
      <c r="J143" s="15">
        <v>5785</v>
      </c>
      <c r="K143" s="15">
        <v>5392.5</v>
      </c>
      <c r="L143" s="15">
        <v>7489.58</v>
      </c>
      <c r="M143" s="15">
        <v>4493.75</v>
      </c>
      <c r="N143" s="15">
        <v>5392.5</v>
      </c>
    </row>
    <row r="144" spans="1:14" x14ac:dyDescent="0.25">
      <c r="A144" s="10" t="s">
        <v>370</v>
      </c>
      <c r="B144" s="15">
        <v>5219.16</v>
      </c>
      <c r="C144" s="15">
        <v>5219.16</v>
      </c>
      <c r="D144" s="15">
        <v>8140.86</v>
      </c>
      <c r="E144" s="15">
        <v>5219.16</v>
      </c>
      <c r="F144" s="15">
        <v>5219.16</v>
      </c>
      <c r="G144" s="15">
        <v>5219.16</v>
      </c>
      <c r="H144" s="15">
        <v>6912.31</v>
      </c>
      <c r="I144" s="15">
        <v>5219.16</v>
      </c>
      <c r="J144" s="15">
        <v>6112.68</v>
      </c>
      <c r="K144" s="15">
        <v>5665.92</v>
      </c>
      <c r="L144" s="15">
        <v>5665.92</v>
      </c>
      <c r="M144" s="15">
        <v>5721.92</v>
      </c>
      <c r="N144" s="15">
        <v>5721.92</v>
      </c>
    </row>
    <row r="145" spans="1:14" x14ac:dyDescent="0.25">
      <c r="A145" s="10" t="s">
        <v>372</v>
      </c>
      <c r="B145" s="15">
        <v>8236.31</v>
      </c>
      <c r="C145" s="15">
        <v>4809.8999999999996</v>
      </c>
      <c r="D145" s="15">
        <v>5878.77</v>
      </c>
      <c r="E145" s="15">
        <v>4809.8999999999996</v>
      </c>
      <c r="F145" s="15">
        <v>4809.8999999999996</v>
      </c>
      <c r="G145" s="15">
        <v>4809.8999999999996</v>
      </c>
      <c r="H145" s="15">
        <v>4809.8999999999996</v>
      </c>
      <c r="I145" s="15">
        <v>4809.8999999999996</v>
      </c>
      <c r="J145" s="15">
        <v>5634.62</v>
      </c>
      <c r="K145" s="15">
        <v>5222.26</v>
      </c>
      <c r="L145" s="15">
        <v>5222.26</v>
      </c>
      <c r="M145" s="15">
        <v>5222.26</v>
      </c>
      <c r="N145" s="15">
        <v>5222.26</v>
      </c>
    </row>
    <row r="146" spans="1:14" x14ac:dyDescent="0.25">
      <c r="A146" s="10" t="s">
        <v>374</v>
      </c>
      <c r="B146" s="15">
        <v>0</v>
      </c>
      <c r="C146" s="15">
        <v>0</v>
      </c>
      <c r="D146" s="15">
        <v>0</v>
      </c>
      <c r="E146" s="15">
        <v>0</v>
      </c>
      <c r="F146" s="15">
        <v>2100</v>
      </c>
      <c r="G146" s="15">
        <v>7000</v>
      </c>
      <c r="H146" s="15">
        <v>7000</v>
      </c>
      <c r="I146" s="15">
        <v>7000</v>
      </c>
      <c r="J146" s="15">
        <v>7299.6</v>
      </c>
      <c r="K146" s="15">
        <v>7149.8</v>
      </c>
      <c r="L146" s="15">
        <v>7149.8</v>
      </c>
      <c r="M146" s="15">
        <v>7149.8</v>
      </c>
      <c r="N146" s="15">
        <v>4170.72</v>
      </c>
    </row>
    <row r="147" spans="1:14" x14ac:dyDescent="0.25">
      <c r="A147" s="10" t="s">
        <v>376</v>
      </c>
      <c r="B147" s="15">
        <v>0</v>
      </c>
      <c r="C147" s="15">
        <v>0</v>
      </c>
      <c r="D147" s="15">
        <v>0</v>
      </c>
      <c r="E147" s="15">
        <v>580</v>
      </c>
      <c r="F147" s="15">
        <v>2900</v>
      </c>
      <c r="G147" s="15">
        <v>2900</v>
      </c>
      <c r="H147" s="15">
        <v>2900</v>
      </c>
      <c r="I147" s="15">
        <v>2900</v>
      </c>
      <c r="J147" s="15">
        <v>3065.3</v>
      </c>
      <c r="K147" s="15">
        <v>2982.65</v>
      </c>
      <c r="L147" s="15">
        <v>2982.65</v>
      </c>
      <c r="M147" s="15">
        <v>2982.65</v>
      </c>
      <c r="N147" s="15">
        <v>1988.43</v>
      </c>
    </row>
    <row r="148" spans="1:14" x14ac:dyDescent="0.25">
      <c r="A148" s="10" t="s">
        <v>378</v>
      </c>
      <c r="B148" s="15">
        <v>0</v>
      </c>
      <c r="C148" s="15">
        <v>0</v>
      </c>
      <c r="D148" s="15">
        <v>0</v>
      </c>
      <c r="E148" s="15">
        <v>0</v>
      </c>
      <c r="F148" s="15">
        <v>0</v>
      </c>
      <c r="G148" s="15">
        <v>9966.67</v>
      </c>
      <c r="H148" s="15">
        <v>13000</v>
      </c>
      <c r="I148" s="15">
        <v>13000</v>
      </c>
      <c r="J148" s="15">
        <v>13371.8</v>
      </c>
      <c r="K148" s="15">
        <v>13185.9</v>
      </c>
      <c r="L148" s="15">
        <v>13185.9</v>
      </c>
      <c r="M148" s="15">
        <v>13185.9</v>
      </c>
      <c r="N148" s="15">
        <v>7691.78</v>
      </c>
    </row>
    <row r="149" spans="1:14" x14ac:dyDescent="0.25">
      <c r="A149" s="10" t="s">
        <v>380</v>
      </c>
      <c r="B149" s="15">
        <v>0</v>
      </c>
      <c r="C149" s="15">
        <v>4400</v>
      </c>
      <c r="D149" s="15">
        <v>12000</v>
      </c>
      <c r="E149" s="15">
        <v>12000</v>
      </c>
      <c r="F149" s="15">
        <v>12000</v>
      </c>
      <c r="G149" s="15">
        <v>12000</v>
      </c>
      <c r="H149" s="15">
        <v>12000</v>
      </c>
      <c r="I149" s="15">
        <v>12000</v>
      </c>
      <c r="J149" s="15">
        <v>13027.2</v>
      </c>
      <c r="K149" s="15">
        <v>12513.6</v>
      </c>
      <c r="L149" s="15">
        <v>12513.6</v>
      </c>
      <c r="M149" s="15">
        <v>12513.6</v>
      </c>
      <c r="N149" s="15">
        <v>10428</v>
      </c>
    </row>
    <row r="150" spans="1:14" x14ac:dyDescent="0.25">
      <c r="A150" s="10" t="s">
        <v>382</v>
      </c>
      <c r="B150" s="15">
        <v>4000</v>
      </c>
      <c r="C150" s="15">
        <v>4000</v>
      </c>
      <c r="D150" s="15">
        <v>4000</v>
      </c>
      <c r="E150" s="15">
        <v>4000</v>
      </c>
      <c r="F150" s="15">
        <v>4000</v>
      </c>
      <c r="G150" s="15">
        <v>4000</v>
      </c>
      <c r="H150" s="15">
        <v>4000</v>
      </c>
      <c r="I150" s="15">
        <v>4000</v>
      </c>
      <c r="J150" s="15">
        <v>4684.8</v>
      </c>
      <c r="K150" s="15">
        <v>4342.3999999999996</v>
      </c>
      <c r="L150" s="15">
        <v>4342.3999999999996</v>
      </c>
      <c r="M150" s="15">
        <v>4342.3999999999996</v>
      </c>
      <c r="N150" s="15">
        <v>4342.3999999999996</v>
      </c>
    </row>
    <row r="151" spans="1:14" x14ac:dyDescent="0.25">
      <c r="A151" s="10" t="s">
        <v>384</v>
      </c>
      <c r="B151" s="15">
        <v>22160.55</v>
      </c>
      <c r="C151" s="15">
        <v>22160.55</v>
      </c>
      <c r="D151" s="15">
        <v>75223.47</v>
      </c>
      <c r="E151" s="15">
        <v>25051</v>
      </c>
      <c r="F151" s="15">
        <v>25051</v>
      </c>
      <c r="G151" s="15">
        <v>25551</v>
      </c>
      <c r="H151" s="15">
        <v>25551</v>
      </c>
      <c r="I151" s="15">
        <v>26551</v>
      </c>
      <c r="J151" s="15">
        <v>29926.6</v>
      </c>
      <c r="K151" s="15">
        <v>27738.799999999999</v>
      </c>
      <c r="L151" s="15">
        <v>52395.51</v>
      </c>
      <c r="M151" s="15">
        <v>9246.27</v>
      </c>
      <c r="N151" s="15">
        <v>27738.799999999999</v>
      </c>
    </row>
    <row r="152" spans="1:14" x14ac:dyDescent="0.25">
      <c r="A152" s="10" t="s">
        <v>386</v>
      </c>
      <c r="B152" s="15">
        <v>9911.0499999999993</v>
      </c>
      <c r="C152" s="15">
        <v>9911.0499999999993</v>
      </c>
      <c r="D152" s="15">
        <v>16384.05</v>
      </c>
      <c r="E152" s="15">
        <v>9911.0499999999993</v>
      </c>
      <c r="F152" s="15">
        <v>11902</v>
      </c>
      <c r="G152" s="15">
        <v>11902</v>
      </c>
      <c r="H152" s="15">
        <v>13892.95</v>
      </c>
      <c r="I152" s="15">
        <v>11902</v>
      </c>
      <c r="J152" s="15">
        <v>13942.16</v>
      </c>
      <c r="K152" s="15">
        <v>12922.08</v>
      </c>
      <c r="L152" s="15">
        <v>19813.86</v>
      </c>
      <c r="M152" s="15">
        <v>10337.66</v>
      </c>
      <c r="N152" s="15">
        <v>12922.08</v>
      </c>
    </row>
    <row r="153" spans="1:14" x14ac:dyDescent="0.25">
      <c r="A153" s="10" t="s">
        <v>388</v>
      </c>
      <c r="B153" s="15">
        <v>640</v>
      </c>
      <c r="C153" s="15">
        <v>3200</v>
      </c>
      <c r="D153" s="15">
        <v>3200</v>
      </c>
      <c r="E153" s="15">
        <v>3200</v>
      </c>
      <c r="F153" s="15">
        <v>3200</v>
      </c>
      <c r="G153" s="15">
        <v>3200</v>
      </c>
      <c r="H153" s="15">
        <v>3200</v>
      </c>
      <c r="I153" s="15">
        <v>3200</v>
      </c>
      <c r="J153" s="15">
        <v>3519.36</v>
      </c>
      <c r="K153" s="15">
        <v>3359.68</v>
      </c>
      <c r="L153" s="15">
        <v>3359.68</v>
      </c>
      <c r="M153" s="15">
        <v>3359.68</v>
      </c>
      <c r="N153" s="15">
        <v>3079.71</v>
      </c>
    </row>
    <row r="154" spans="1:14" x14ac:dyDescent="0.25">
      <c r="A154" s="10" t="s">
        <v>390</v>
      </c>
      <c r="B154" s="15">
        <v>0</v>
      </c>
      <c r="C154" s="15">
        <v>0</v>
      </c>
      <c r="D154" s="15">
        <v>0</v>
      </c>
      <c r="E154" s="15">
        <v>0</v>
      </c>
      <c r="F154" s="15">
        <v>2760</v>
      </c>
      <c r="G154" s="15">
        <v>3600</v>
      </c>
      <c r="H154" s="15">
        <v>3600</v>
      </c>
      <c r="I154" s="15">
        <v>3600</v>
      </c>
      <c r="J154" s="15">
        <v>3754.08</v>
      </c>
      <c r="K154" s="15">
        <v>3677.04</v>
      </c>
      <c r="L154" s="15">
        <v>3677.04</v>
      </c>
      <c r="M154" s="15">
        <v>3677.04</v>
      </c>
      <c r="N154" s="15">
        <v>2451.36</v>
      </c>
    </row>
    <row r="155" spans="1:14" x14ac:dyDescent="0.25">
      <c r="A155" s="10" t="s">
        <v>392</v>
      </c>
      <c r="B155" s="15">
        <v>0</v>
      </c>
      <c r="C155" s="15">
        <v>0</v>
      </c>
      <c r="D155" s="15">
        <v>0</v>
      </c>
      <c r="E155" s="15">
        <v>0</v>
      </c>
      <c r="F155" s="15">
        <v>0</v>
      </c>
      <c r="G155" s="15">
        <v>0</v>
      </c>
      <c r="H155" s="15">
        <v>0</v>
      </c>
      <c r="I155" s="15">
        <v>0</v>
      </c>
      <c r="J155" s="15">
        <v>6166.65</v>
      </c>
      <c r="K155" s="15">
        <v>5714.86</v>
      </c>
      <c r="L155" s="15">
        <v>5714.86</v>
      </c>
      <c r="M155" s="15">
        <v>5714.86</v>
      </c>
      <c r="N155" s="15">
        <v>5714.86</v>
      </c>
    </row>
    <row r="156" spans="1:14" x14ac:dyDescent="0.25">
      <c r="A156" s="10" t="s">
        <v>394</v>
      </c>
      <c r="B156" s="15">
        <v>5082</v>
      </c>
      <c r="C156" s="15">
        <v>5082</v>
      </c>
      <c r="D156" s="15">
        <v>5082</v>
      </c>
      <c r="E156" s="15">
        <v>5082</v>
      </c>
      <c r="F156" s="15">
        <v>5082</v>
      </c>
      <c r="G156" s="15">
        <v>5082</v>
      </c>
      <c r="H156" s="15">
        <v>5082</v>
      </c>
      <c r="I156" s="15">
        <v>5082</v>
      </c>
      <c r="J156" s="15">
        <v>5952.04</v>
      </c>
      <c r="K156" s="15">
        <v>5517.02</v>
      </c>
      <c r="L156" s="15">
        <v>5517.02</v>
      </c>
      <c r="M156" s="15">
        <v>9317.6299999999992</v>
      </c>
      <c r="N156" s="15">
        <v>5517.02</v>
      </c>
    </row>
    <row r="157" spans="1:14" x14ac:dyDescent="0.25">
      <c r="A157" s="10" t="s">
        <v>396</v>
      </c>
      <c r="B157" s="15">
        <v>3643.15</v>
      </c>
      <c r="C157" s="15">
        <v>3643.15</v>
      </c>
      <c r="D157" s="15">
        <v>4371.78</v>
      </c>
      <c r="E157" s="15">
        <v>4371.78</v>
      </c>
      <c r="F157" s="15">
        <v>9909.3700000000008</v>
      </c>
      <c r="G157" s="15">
        <v>291.45</v>
      </c>
      <c r="H157" s="15">
        <v>4371.78</v>
      </c>
      <c r="I157" s="15">
        <v>4371.78</v>
      </c>
      <c r="J157" s="15">
        <v>5120.22</v>
      </c>
      <c r="K157" s="15">
        <v>4746</v>
      </c>
      <c r="L157" s="15">
        <v>4746</v>
      </c>
      <c r="M157" s="15">
        <v>4746</v>
      </c>
      <c r="N157" s="15">
        <v>4746</v>
      </c>
    </row>
    <row r="158" spans="1:14" x14ac:dyDescent="0.25">
      <c r="A158" s="10" t="s">
        <v>398</v>
      </c>
      <c r="B158" s="15">
        <v>0</v>
      </c>
      <c r="C158" s="15">
        <v>0</v>
      </c>
      <c r="D158" s="15">
        <v>0</v>
      </c>
      <c r="E158" s="15">
        <v>0</v>
      </c>
      <c r="F158" s="15">
        <v>0</v>
      </c>
      <c r="G158" s="15">
        <v>3096</v>
      </c>
      <c r="H158" s="15">
        <v>5805</v>
      </c>
      <c r="I158" s="15">
        <v>5805</v>
      </c>
      <c r="J158" s="15">
        <v>5971.02</v>
      </c>
      <c r="K158" s="15">
        <v>5888.01</v>
      </c>
      <c r="L158" s="15">
        <v>5888.01</v>
      </c>
      <c r="M158" s="15">
        <v>5888.01</v>
      </c>
      <c r="N158" s="15">
        <v>3434.67</v>
      </c>
    </row>
    <row r="159" spans="1:14" x14ac:dyDescent="0.25">
      <c r="A159" s="10" t="s">
        <v>400</v>
      </c>
      <c r="B159" s="15">
        <v>0</v>
      </c>
      <c r="C159" s="15">
        <v>0</v>
      </c>
      <c r="D159" s="15">
        <v>0</v>
      </c>
      <c r="E159" s="15">
        <v>5333.33</v>
      </c>
      <c r="F159" s="15">
        <v>8000</v>
      </c>
      <c r="G159" s="15">
        <v>8000</v>
      </c>
      <c r="H159" s="15">
        <v>8000</v>
      </c>
      <c r="I159" s="15">
        <v>8262.16</v>
      </c>
      <c r="J159" s="15">
        <v>8065.54</v>
      </c>
      <c r="K159" s="15">
        <v>8065.54</v>
      </c>
      <c r="L159" s="15">
        <v>8065.54</v>
      </c>
      <c r="M159" s="15">
        <v>8065.54</v>
      </c>
      <c r="N159" s="15">
        <v>6049.16</v>
      </c>
    </row>
    <row r="160" spans="1:14" x14ac:dyDescent="0.25">
      <c r="A160" s="10" t="s">
        <v>402</v>
      </c>
      <c r="B160" s="15">
        <v>0</v>
      </c>
      <c r="C160" s="15">
        <v>1050</v>
      </c>
      <c r="D160" s="15">
        <v>4500</v>
      </c>
      <c r="E160" s="15">
        <v>4500</v>
      </c>
      <c r="F160" s="15">
        <v>300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750</v>
      </c>
    </row>
    <row r="161" spans="1:14" x14ac:dyDescent="0.25">
      <c r="A161" s="10" t="s">
        <v>404</v>
      </c>
      <c r="B161" s="15">
        <v>0</v>
      </c>
      <c r="C161" s="15">
        <v>0</v>
      </c>
      <c r="D161" s="15">
        <v>0</v>
      </c>
      <c r="E161" s="15">
        <v>0</v>
      </c>
      <c r="F161" s="15">
        <v>2133.33</v>
      </c>
      <c r="G161" s="15">
        <v>4000</v>
      </c>
      <c r="H161" s="15">
        <v>4000</v>
      </c>
      <c r="I161" s="15">
        <v>4000</v>
      </c>
      <c r="J161" s="15">
        <v>4171.2</v>
      </c>
      <c r="K161" s="15">
        <v>4085.6</v>
      </c>
      <c r="L161" s="15">
        <v>4085.6</v>
      </c>
      <c r="M161" s="15">
        <v>4085.6</v>
      </c>
      <c r="N161" s="15">
        <v>2723.73</v>
      </c>
    </row>
    <row r="162" spans="1:14" x14ac:dyDescent="0.25">
      <c r="A162" s="10" t="s">
        <v>406</v>
      </c>
      <c r="B162" s="15">
        <v>3000</v>
      </c>
      <c r="C162" s="15">
        <v>3000</v>
      </c>
      <c r="D162" s="15">
        <v>3000</v>
      </c>
      <c r="E162" s="15">
        <v>3000</v>
      </c>
      <c r="F162" s="15">
        <v>3000</v>
      </c>
      <c r="G162" s="15">
        <v>3000</v>
      </c>
      <c r="H162" s="15">
        <v>3000</v>
      </c>
      <c r="I162" s="15">
        <v>3000</v>
      </c>
      <c r="J162" s="15">
        <v>3385.2</v>
      </c>
      <c r="K162" s="15">
        <v>3192.6</v>
      </c>
      <c r="L162" s="15">
        <v>3192.6</v>
      </c>
      <c r="M162" s="15">
        <v>3192.6</v>
      </c>
      <c r="N162" s="15">
        <v>3192.6</v>
      </c>
    </row>
    <row r="163" spans="1:14" x14ac:dyDescent="0.25">
      <c r="A163" s="10" t="s">
        <v>408</v>
      </c>
      <c r="B163" s="15">
        <v>5682.58</v>
      </c>
      <c r="C163" s="15">
        <v>5682.58</v>
      </c>
      <c r="D163" s="15">
        <v>5737.75</v>
      </c>
      <c r="E163" s="15">
        <v>5737.75</v>
      </c>
      <c r="F163" s="15">
        <v>5737.75</v>
      </c>
      <c r="G163" s="15">
        <v>5737.75</v>
      </c>
      <c r="H163" s="15">
        <v>5737.75</v>
      </c>
      <c r="I163" s="15">
        <v>7993.83</v>
      </c>
      <c r="J163" s="15">
        <v>9242.6</v>
      </c>
      <c r="K163" s="15">
        <v>5461.53</v>
      </c>
      <c r="L163" s="15">
        <v>6301.77</v>
      </c>
      <c r="M163" s="15">
        <v>6301.77</v>
      </c>
      <c r="N163" s="15">
        <v>6301.77</v>
      </c>
    </row>
    <row r="164" spans="1:14" x14ac:dyDescent="0.25">
      <c r="A164" s="10" t="s">
        <v>410</v>
      </c>
      <c r="B164" s="15">
        <v>0</v>
      </c>
      <c r="C164" s="15">
        <v>0</v>
      </c>
      <c r="D164" s="15">
        <v>4300</v>
      </c>
      <c r="E164" s="15">
        <v>4300</v>
      </c>
      <c r="F164" s="15">
        <v>4300</v>
      </c>
      <c r="G164" s="15">
        <v>4300</v>
      </c>
      <c r="H164" s="15">
        <v>4300</v>
      </c>
      <c r="I164" s="15">
        <v>4300</v>
      </c>
      <c r="J164" s="15">
        <v>4607.0200000000004</v>
      </c>
      <c r="K164" s="15">
        <v>4453.51</v>
      </c>
      <c r="L164" s="15">
        <v>4453.51</v>
      </c>
      <c r="M164" s="15">
        <v>4453.51</v>
      </c>
      <c r="N164" s="15">
        <v>3711.26</v>
      </c>
    </row>
    <row r="165" spans="1:14" x14ac:dyDescent="0.25">
      <c r="A165" s="10" t="s">
        <v>412</v>
      </c>
      <c r="B165" s="15">
        <v>0</v>
      </c>
      <c r="C165" s="15">
        <v>0</v>
      </c>
      <c r="D165" s="15">
        <v>933.33</v>
      </c>
      <c r="E165" s="15">
        <v>7000</v>
      </c>
      <c r="F165" s="15">
        <v>7000</v>
      </c>
      <c r="G165" s="15">
        <v>7000</v>
      </c>
      <c r="H165" s="15">
        <v>7000</v>
      </c>
      <c r="I165" s="15">
        <v>7000</v>
      </c>
      <c r="J165" s="15">
        <v>7499.8</v>
      </c>
      <c r="K165" s="15">
        <v>7249.9</v>
      </c>
      <c r="L165" s="15">
        <v>7249.9</v>
      </c>
      <c r="M165" s="15">
        <v>7249.9</v>
      </c>
      <c r="N165" s="15">
        <v>5437.43</v>
      </c>
    </row>
    <row r="166" spans="1:14" x14ac:dyDescent="0.25">
      <c r="A166" s="10" t="s">
        <v>414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2310</v>
      </c>
      <c r="I166" s="15">
        <v>2475</v>
      </c>
      <c r="J166" s="15">
        <v>2510.14</v>
      </c>
      <c r="K166" s="15">
        <v>2492.5700000000002</v>
      </c>
      <c r="L166" s="15">
        <v>2492.5700000000002</v>
      </c>
      <c r="M166" s="15">
        <v>2492.5700000000002</v>
      </c>
      <c r="N166" s="15">
        <v>1246.29</v>
      </c>
    </row>
    <row r="167" spans="1:14" x14ac:dyDescent="0.25">
      <c r="A167" s="10" t="s">
        <v>416</v>
      </c>
      <c r="B167" s="15">
        <v>0</v>
      </c>
      <c r="C167" s="15">
        <v>1050</v>
      </c>
      <c r="D167" s="15">
        <v>4500</v>
      </c>
      <c r="E167" s="15">
        <v>4500</v>
      </c>
      <c r="F167" s="15">
        <v>4500</v>
      </c>
      <c r="G167" s="15">
        <v>4500</v>
      </c>
      <c r="H167" s="15">
        <v>4500</v>
      </c>
      <c r="I167" s="15">
        <v>4500</v>
      </c>
      <c r="J167" s="15">
        <v>4885.2</v>
      </c>
      <c r="K167" s="15">
        <v>4692.6000000000004</v>
      </c>
      <c r="L167" s="15">
        <v>4692.6000000000004</v>
      </c>
      <c r="M167" s="15">
        <v>4692.6000000000004</v>
      </c>
      <c r="N167" s="15">
        <v>3910.5</v>
      </c>
    </row>
    <row r="168" spans="1:14" x14ac:dyDescent="0.25">
      <c r="A168" s="10" t="s">
        <v>418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3200</v>
      </c>
      <c r="J168" s="15">
        <v>4000</v>
      </c>
      <c r="K168" s="15">
        <v>4000</v>
      </c>
      <c r="L168" s="15">
        <v>4000</v>
      </c>
      <c r="M168" s="15">
        <v>4000</v>
      </c>
      <c r="N168" s="15">
        <v>1666.67</v>
      </c>
    </row>
    <row r="169" spans="1:14" x14ac:dyDescent="0.25">
      <c r="A169" s="10" t="s">
        <v>420</v>
      </c>
      <c r="B169" s="15">
        <v>11774.29</v>
      </c>
      <c r="C169" s="15">
        <v>6623.04</v>
      </c>
      <c r="D169" s="15">
        <v>8278.7999999999993</v>
      </c>
      <c r="E169" s="15">
        <v>8278.7999999999993</v>
      </c>
      <c r="F169" s="15">
        <v>8278.7999999999993</v>
      </c>
      <c r="G169" s="15">
        <v>8278.7999999999993</v>
      </c>
      <c r="H169" s="15">
        <v>8278.7999999999993</v>
      </c>
      <c r="I169" s="15">
        <v>8278.7999999999993</v>
      </c>
      <c r="J169" s="15">
        <v>275.95999999999998</v>
      </c>
      <c r="K169" s="15">
        <v>732.95</v>
      </c>
      <c r="L169" s="15">
        <v>0</v>
      </c>
      <c r="M169" s="15">
        <v>0</v>
      </c>
      <c r="N169" s="15">
        <v>5992.07</v>
      </c>
    </row>
    <row r="170" spans="1:14" x14ac:dyDescent="0.25">
      <c r="A170" s="10" t="s">
        <v>422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2795.33</v>
      </c>
      <c r="I170" s="15">
        <v>2995</v>
      </c>
      <c r="J170" s="15">
        <v>3037.52</v>
      </c>
      <c r="K170" s="15">
        <v>3016.26</v>
      </c>
      <c r="L170" s="15">
        <v>3016.26</v>
      </c>
      <c r="M170" s="15">
        <v>3016.26</v>
      </c>
      <c r="N170" s="15">
        <v>1508.13</v>
      </c>
    </row>
    <row r="171" spans="1:14" x14ac:dyDescent="0.25">
      <c r="A171" s="10" t="s">
        <v>424</v>
      </c>
      <c r="B171" s="15">
        <v>6969.03</v>
      </c>
      <c r="C171" s="15">
        <v>6969.03</v>
      </c>
      <c r="D171" s="15">
        <v>6969.03</v>
      </c>
      <c r="E171" s="15">
        <v>10165.91</v>
      </c>
      <c r="F171" s="15">
        <v>5354.82</v>
      </c>
      <c r="G171" s="15">
        <v>6969.03</v>
      </c>
      <c r="H171" s="15">
        <v>6969.03</v>
      </c>
      <c r="I171" s="15">
        <v>6969.03</v>
      </c>
      <c r="J171" s="15">
        <v>9153.18</v>
      </c>
      <c r="K171" s="15">
        <v>8556</v>
      </c>
      <c r="L171" s="15">
        <v>8556</v>
      </c>
      <c r="M171" s="15">
        <v>8556</v>
      </c>
      <c r="N171" s="15">
        <v>8556</v>
      </c>
    </row>
    <row r="172" spans="1:14" x14ac:dyDescent="0.25">
      <c r="A172" s="10" t="s">
        <v>426</v>
      </c>
      <c r="B172" s="15">
        <v>7559.78</v>
      </c>
      <c r="C172" s="15">
        <v>7559.78</v>
      </c>
      <c r="D172" s="15">
        <v>7559.78</v>
      </c>
      <c r="E172" s="15">
        <v>12077.78</v>
      </c>
      <c r="F172" s="15">
        <v>7559.78</v>
      </c>
      <c r="G172" s="15">
        <v>17639.490000000002</v>
      </c>
      <c r="H172" s="15">
        <v>503.99</v>
      </c>
      <c r="I172" s="15">
        <v>7055.79</v>
      </c>
      <c r="J172" s="15">
        <v>8810.8799999999992</v>
      </c>
      <c r="K172" s="15">
        <v>8206.9</v>
      </c>
      <c r="L172" s="15">
        <v>8206.9</v>
      </c>
      <c r="M172" s="15">
        <v>8206.9</v>
      </c>
      <c r="N172" s="15">
        <v>8206.9</v>
      </c>
    </row>
    <row r="173" spans="1:14" x14ac:dyDescent="0.25">
      <c r="A173" s="10" t="s">
        <v>428</v>
      </c>
      <c r="B173" s="15">
        <v>1120</v>
      </c>
      <c r="C173" s="15">
        <v>1200</v>
      </c>
      <c r="D173" s="15">
        <v>1200</v>
      </c>
      <c r="E173" s="15">
        <v>1200</v>
      </c>
      <c r="F173" s="15">
        <v>1200</v>
      </c>
      <c r="G173" s="15">
        <v>1200</v>
      </c>
      <c r="H173" s="15">
        <v>1200</v>
      </c>
      <c r="I173" s="15">
        <v>1200</v>
      </c>
      <c r="J173" s="15">
        <v>1319.76</v>
      </c>
      <c r="K173" s="15">
        <v>797.92</v>
      </c>
      <c r="L173" s="15">
        <v>0</v>
      </c>
      <c r="M173" s="15">
        <v>0</v>
      </c>
      <c r="N173" s="15">
        <v>1154.8900000000001</v>
      </c>
    </row>
    <row r="174" spans="1:14" x14ac:dyDescent="0.25">
      <c r="A174" s="10" t="s">
        <v>430</v>
      </c>
      <c r="B174" s="15">
        <v>0</v>
      </c>
      <c r="C174" s="15">
        <v>0</v>
      </c>
      <c r="D174" s="15">
        <v>0</v>
      </c>
      <c r="E174" s="15">
        <v>0</v>
      </c>
      <c r="F174" s="15">
        <v>2500</v>
      </c>
      <c r="G174" s="15">
        <v>2500</v>
      </c>
      <c r="H174" s="15">
        <v>2500</v>
      </c>
      <c r="I174" s="15">
        <v>2500</v>
      </c>
      <c r="J174" s="15">
        <v>2607</v>
      </c>
      <c r="K174" s="15">
        <v>2553.5</v>
      </c>
      <c r="L174" s="15">
        <v>2553.5</v>
      </c>
      <c r="M174" s="15">
        <v>2553.5</v>
      </c>
      <c r="N174" s="15">
        <v>1702.33</v>
      </c>
    </row>
    <row r="175" spans="1:14" x14ac:dyDescent="0.25">
      <c r="A175" s="10" t="s">
        <v>432</v>
      </c>
      <c r="B175" s="15">
        <v>0</v>
      </c>
      <c r="C175" s="15">
        <v>1600</v>
      </c>
      <c r="D175" s="15">
        <v>6000</v>
      </c>
      <c r="E175" s="15">
        <v>6000</v>
      </c>
      <c r="F175" s="15">
        <v>6000</v>
      </c>
      <c r="G175" s="15">
        <v>6000</v>
      </c>
      <c r="H175" s="15">
        <v>6000</v>
      </c>
      <c r="I175" s="15">
        <v>6000</v>
      </c>
      <c r="J175" s="15">
        <v>6513.6</v>
      </c>
      <c r="K175" s="15">
        <v>6256.8</v>
      </c>
      <c r="L175" s="15">
        <v>6256.8</v>
      </c>
      <c r="M175" s="15">
        <v>6256.8</v>
      </c>
      <c r="N175" s="15">
        <v>5214</v>
      </c>
    </row>
    <row r="176" spans="1:14" x14ac:dyDescent="0.25">
      <c r="A176" s="10" t="s">
        <v>434</v>
      </c>
      <c r="B176" s="15">
        <v>1670.3</v>
      </c>
      <c r="C176" s="15">
        <v>1670.3</v>
      </c>
      <c r="D176" s="15">
        <v>1670.3</v>
      </c>
      <c r="E176" s="15">
        <v>1670.3</v>
      </c>
      <c r="F176" s="15">
        <v>1670.3</v>
      </c>
      <c r="G176" s="15">
        <v>1670.3</v>
      </c>
      <c r="H176" s="15">
        <v>1670.3</v>
      </c>
      <c r="I176" s="15">
        <v>2327.02</v>
      </c>
      <c r="J176" s="15">
        <v>1834.48</v>
      </c>
      <c r="K176" s="15">
        <v>1834.48</v>
      </c>
      <c r="L176" s="15">
        <v>3668.96</v>
      </c>
      <c r="M176" s="15">
        <v>611.49</v>
      </c>
      <c r="N176" s="15">
        <v>1834.48</v>
      </c>
    </row>
    <row r="177" spans="1:14" x14ac:dyDescent="0.25">
      <c r="A177" s="10" t="s">
        <v>436</v>
      </c>
      <c r="B177" s="15">
        <v>2937.48</v>
      </c>
      <c r="C177" s="15">
        <v>2937.48</v>
      </c>
      <c r="D177" s="15">
        <v>2937.48</v>
      </c>
      <c r="E177" s="15">
        <v>6266.62</v>
      </c>
      <c r="F177" s="15">
        <v>587.5</v>
      </c>
      <c r="G177" s="15">
        <v>2937.48</v>
      </c>
      <c r="H177" s="15">
        <v>2937.48</v>
      </c>
      <c r="I177" s="15">
        <v>2937.48</v>
      </c>
      <c r="J177" s="15">
        <v>3440.38</v>
      </c>
      <c r="K177" s="15">
        <v>3188.93</v>
      </c>
      <c r="L177" s="15">
        <v>3188.93</v>
      </c>
      <c r="M177" s="15">
        <v>3188.93</v>
      </c>
      <c r="N177" s="15">
        <v>3188.93</v>
      </c>
    </row>
    <row r="178" spans="1:14" x14ac:dyDescent="0.25">
      <c r="A178" s="10" t="s">
        <v>438</v>
      </c>
      <c r="B178" s="15">
        <v>1686.67</v>
      </c>
      <c r="C178" s="15">
        <v>0</v>
      </c>
      <c r="D178" s="15">
        <v>0</v>
      </c>
      <c r="E178" s="15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191.67</v>
      </c>
    </row>
    <row r="179" spans="1:14" x14ac:dyDescent="0.25">
      <c r="A179" s="10" t="s">
        <v>440</v>
      </c>
      <c r="B179" s="15">
        <v>19175.7</v>
      </c>
      <c r="C179" s="15">
        <v>19175.7</v>
      </c>
      <c r="D179" s="15">
        <v>49124.93</v>
      </c>
      <c r="E179" s="15">
        <v>34543.46</v>
      </c>
      <c r="F179" s="15">
        <v>10250.84</v>
      </c>
      <c r="G179" s="15">
        <v>19175.7</v>
      </c>
      <c r="H179" s="15">
        <v>19175.7</v>
      </c>
      <c r="I179" s="15">
        <v>19175.7</v>
      </c>
      <c r="J179" s="15">
        <v>22459.84</v>
      </c>
      <c r="K179" s="15">
        <v>20817.77</v>
      </c>
      <c r="L179" s="15">
        <v>20817.77</v>
      </c>
      <c r="M179" s="15">
        <v>20817.77</v>
      </c>
      <c r="N179" s="15">
        <v>20817.77</v>
      </c>
    </row>
    <row r="180" spans="1:14" x14ac:dyDescent="0.25">
      <c r="A180" s="10" t="s">
        <v>442</v>
      </c>
      <c r="B180" s="15">
        <v>0</v>
      </c>
      <c r="C180" s="15">
        <v>1050</v>
      </c>
      <c r="D180" s="15">
        <v>4500</v>
      </c>
      <c r="E180" s="15">
        <v>4500</v>
      </c>
      <c r="F180" s="15">
        <v>4500</v>
      </c>
      <c r="G180" s="15">
        <v>4500</v>
      </c>
      <c r="H180" s="15">
        <v>4500</v>
      </c>
      <c r="I180" s="15">
        <v>4500</v>
      </c>
      <c r="J180" s="15">
        <v>4885.2</v>
      </c>
      <c r="K180" s="15">
        <v>4692.6000000000004</v>
      </c>
      <c r="L180" s="15">
        <v>4692.6000000000004</v>
      </c>
      <c r="M180" s="15">
        <v>4692.6000000000004</v>
      </c>
      <c r="N180" s="15">
        <v>3910.5</v>
      </c>
    </row>
    <row r="181" spans="1:14" x14ac:dyDescent="0.25">
      <c r="A181" s="10" t="s">
        <v>444</v>
      </c>
      <c r="B181" s="15">
        <v>0</v>
      </c>
      <c r="C181" s="15">
        <v>0</v>
      </c>
      <c r="D181" s="15">
        <v>0</v>
      </c>
      <c r="E181" s="15">
        <v>0</v>
      </c>
      <c r="F181" s="15">
        <v>0</v>
      </c>
      <c r="G181" s="15">
        <v>0</v>
      </c>
      <c r="H181" s="15">
        <v>0</v>
      </c>
      <c r="I181" s="15">
        <v>0</v>
      </c>
      <c r="J181" s="15">
        <v>2513.33</v>
      </c>
      <c r="K181" s="15">
        <v>2600</v>
      </c>
      <c r="L181" s="15">
        <v>2600</v>
      </c>
      <c r="M181" s="15">
        <v>2600</v>
      </c>
      <c r="N181" s="15">
        <v>866.67</v>
      </c>
    </row>
    <row r="182" spans="1:14" x14ac:dyDescent="0.25">
      <c r="A182" s="10" t="s">
        <v>446</v>
      </c>
      <c r="B182" s="15">
        <v>2300</v>
      </c>
      <c r="C182" s="15">
        <v>2300</v>
      </c>
      <c r="D182" s="15">
        <v>2300</v>
      </c>
      <c r="E182" s="15">
        <v>2300</v>
      </c>
      <c r="F182" s="15">
        <v>2300</v>
      </c>
      <c r="G182" s="15">
        <v>2300</v>
      </c>
      <c r="H182" s="15">
        <v>2300</v>
      </c>
      <c r="I182" s="15">
        <v>2300</v>
      </c>
      <c r="J182" s="15">
        <v>2595.3200000000002</v>
      </c>
      <c r="K182" s="15">
        <v>1468.6</v>
      </c>
      <c r="L182" s="15">
        <v>0</v>
      </c>
      <c r="M182" s="15">
        <v>0</v>
      </c>
      <c r="N182" s="15">
        <v>2243.69</v>
      </c>
    </row>
    <row r="183" spans="1:14" x14ac:dyDescent="0.25">
      <c r="A183" s="10" t="s">
        <v>448</v>
      </c>
      <c r="B183" s="15">
        <v>0</v>
      </c>
      <c r="C183" s="15">
        <v>0</v>
      </c>
      <c r="D183" s="15">
        <v>0</v>
      </c>
      <c r="E183" s="15">
        <v>0</v>
      </c>
      <c r="F183" s="15">
        <v>450</v>
      </c>
      <c r="G183" s="15">
        <v>1500</v>
      </c>
      <c r="H183" s="15">
        <v>1500</v>
      </c>
      <c r="I183" s="15">
        <v>1500</v>
      </c>
      <c r="J183" s="15">
        <v>1564.2</v>
      </c>
      <c r="K183" s="15">
        <v>1532.1</v>
      </c>
      <c r="L183" s="15">
        <v>1532.1</v>
      </c>
      <c r="M183" s="15">
        <v>1532.1</v>
      </c>
      <c r="N183" s="15">
        <v>893.73</v>
      </c>
    </row>
    <row r="184" spans="1:14" x14ac:dyDescent="0.25">
      <c r="A184" s="10" t="s">
        <v>450</v>
      </c>
      <c r="B184" s="15">
        <v>2000</v>
      </c>
      <c r="C184" s="15">
        <v>2000</v>
      </c>
      <c r="D184" s="15">
        <v>2000</v>
      </c>
      <c r="E184" s="15">
        <v>2000</v>
      </c>
      <c r="F184" s="15">
        <v>2000</v>
      </c>
      <c r="G184" s="15">
        <v>2000</v>
      </c>
      <c r="H184" s="15">
        <v>2000</v>
      </c>
      <c r="I184" s="15">
        <v>2000</v>
      </c>
      <c r="J184" s="15">
        <v>2342.4</v>
      </c>
      <c r="K184" s="15">
        <v>3180</v>
      </c>
      <c r="L184" s="15">
        <v>3180</v>
      </c>
      <c r="M184" s="15">
        <v>3180</v>
      </c>
      <c r="N184" s="15">
        <v>3180</v>
      </c>
    </row>
    <row r="185" spans="1:14" x14ac:dyDescent="0.25">
      <c r="A185" s="10" t="s">
        <v>452</v>
      </c>
      <c r="B185" s="15">
        <v>0</v>
      </c>
      <c r="C185" s="15">
        <v>0</v>
      </c>
      <c r="D185" s="15">
        <v>1450</v>
      </c>
      <c r="E185" s="15">
        <v>1500</v>
      </c>
      <c r="F185" s="15">
        <v>1500</v>
      </c>
      <c r="G185" s="15">
        <v>1500</v>
      </c>
      <c r="H185" s="15">
        <v>1500</v>
      </c>
      <c r="I185" s="15">
        <v>1500</v>
      </c>
      <c r="J185" s="15">
        <v>2555</v>
      </c>
      <c r="K185" s="15">
        <v>1874.97</v>
      </c>
      <c r="L185" s="15">
        <v>1800</v>
      </c>
      <c r="M185" s="15">
        <v>1800</v>
      </c>
      <c r="N185" s="15">
        <v>600</v>
      </c>
    </row>
    <row r="186" spans="1:14" x14ac:dyDescent="0.25">
      <c r="A186" s="10" t="s">
        <v>454</v>
      </c>
      <c r="B186" s="15">
        <v>4000</v>
      </c>
      <c r="C186" s="15">
        <v>4000</v>
      </c>
      <c r="D186" s="15">
        <v>4000</v>
      </c>
      <c r="E186" s="15">
        <v>4000</v>
      </c>
      <c r="F186" s="15">
        <v>4000</v>
      </c>
      <c r="G186" s="15">
        <v>4000</v>
      </c>
      <c r="H186" s="15">
        <v>4000</v>
      </c>
      <c r="I186" s="15">
        <v>8000</v>
      </c>
      <c r="J186" s="15">
        <v>2132.27</v>
      </c>
      <c r="K186" s="15">
        <v>4342.3999999999996</v>
      </c>
      <c r="L186" s="15">
        <v>4342.3999999999996</v>
      </c>
      <c r="M186" s="15">
        <v>4342.3999999999996</v>
      </c>
      <c r="N186" s="15">
        <v>4342.3999999999996</v>
      </c>
    </row>
    <row r="187" spans="1:14" x14ac:dyDescent="0.25">
      <c r="A187" s="10" t="s">
        <v>456</v>
      </c>
      <c r="B187" s="15">
        <v>0</v>
      </c>
      <c r="C187" s="15">
        <v>1120</v>
      </c>
      <c r="D187" s="15">
        <v>4800</v>
      </c>
      <c r="E187" s="15">
        <v>4800</v>
      </c>
      <c r="F187" s="15">
        <v>4800</v>
      </c>
      <c r="G187" s="15">
        <v>4800</v>
      </c>
      <c r="H187" s="15">
        <v>4800</v>
      </c>
      <c r="I187" s="15">
        <v>4800</v>
      </c>
      <c r="J187" s="15">
        <v>5210.88</v>
      </c>
      <c r="K187" s="15">
        <v>5005.4399999999996</v>
      </c>
      <c r="L187" s="15">
        <v>5005.4399999999996</v>
      </c>
      <c r="M187" s="15">
        <v>5005.4399999999996</v>
      </c>
      <c r="N187" s="15">
        <v>4171.2</v>
      </c>
    </row>
    <row r="188" spans="1:14" x14ac:dyDescent="0.25">
      <c r="A188" s="10" t="s">
        <v>458</v>
      </c>
      <c r="B188" s="15">
        <v>0</v>
      </c>
      <c r="C188" s="15">
        <v>0</v>
      </c>
      <c r="D188" s="15">
        <v>4000</v>
      </c>
      <c r="E188" s="15">
        <v>4000</v>
      </c>
      <c r="F188" s="15">
        <v>4000</v>
      </c>
      <c r="G188" s="15">
        <v>4000</v>
      </c>
      <c r="H188" s="15">
        <v>4000</v>
      </c>
      <c r="I188" s="15">
        <v>4000</v>
      </c>
      <c r="J188" s="15">
        <v>4285.6000000000004</v>
      </c>
      <c r="K188" s="15">
        <v>4142.8</v>
      </c>
      <c r="L188" s="15">
        <v>4142.8</v>
      </c>
      <c r="M188" s="15">
        <v>4142.8</v>
      </c>
      <c r="N188" s="15">
        <v>3452.33</v>
      </c>
    </row>
    <row r="189" spans="1:14" x14ac:dyDescent="0.25">
      <c r="A189" s="10" t="s">
        <v>460</v>
      </c>
      <c r="B189" s="15">
        <v>4500</v>
      </c>
      <c r="C189" s="15">
        <v>4500</v>
      </c>
      <c r="D189" s="15">
        <v>4500</v>
      </c>
      <c r="E189" s="15">
        <v>4500</v>
      </c>
      <c r="F189" s="15">
        <v>4500</v>
      </c>
      <c r="G189" s="15">
        <v>4500</v>
      </c>
      <c r="H189" s="15">
        <v>8500</v>
      </c>
      <c r="I189" s="15">
        <v>1500</v>
      </c>
      <c r="J189" s="15">
        <v>5356</v>
      </c>
      <c r="K189" s="15">
        <v>4885.2</v>
      </c>
      <c r="L189" s="15">
        <v>4885.2</v>
      </c>
      <c r="M189" s="15">
        <v>4885.2</v>
      </c>
      <c r="N189" s="15">
        <v>4885.2</v>
      </c>
    </row>
    <row r="190" spans="1:14" x14ac:dyDescent="0.25">
      <c r="A190" s="10" t="s">
        <v>462</v>
      </c>
      <c r="B190" s="15">
        <v>3294.3</v>
      </c>
      <c r="C190" s="15">
        <v>3294.3</v>
      </c>
      <c r="D190" s="15">
        <v>5138.3999999999996</v>
      </c>
      <c r="E190" s="15">
        <v>3294.3</v>
      </c>
      <c r="F190" s="15">
        <v>6587.8</v>
      </c>
      <c r="G190" s="15">
        <v>3953</v>
      </c>
      <c r="H190" s="15">
        <v>3953</v>
      </c>
      <c r="I190" s="15">
        <v>3953</v>
      </c>
      <c r="J190" s="15">
        <v>4629.76</v>
      </c>
      <c r="K190" s="15">
        <v>4291.38</v>
      </c>
      <c r="L190" s="15">
        <v>4291.38</v>
      </c>
      <c r="M190" s="15">
        <v>4291.38</v>
      </c>
      <c r="N190" s="15">
        <v>4291.38</v>
      </c>
    </row>
    <row r="191" spans="1:14" x14ac:dyDescent="0.25">
      <c r="A191" s="10" t="s">
        <v>464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1200</v>
      </c>
      <c r="M191" s="15">
        <v>1500</v>
      </c>
      <c r="N191" s="15">
        <v>250</v>
      </c>
    </row>
    <row r="192" spans="1:14" x14ac:dyDescent="0.25">
      <c r="A192" s="10" t="s">
        <v>466</v>
      </c>
      <c r="B192" s="15">
        <v>2146.67</v>
      </c>
      <c r="C192" s="15">
        <v>2300</v>
      </c>
      <c r="D192" s="15">
        <v>2300</v>
      </c>
      <c r="E192" s="15">
        <v>2300</v>
      </c>
      <c r="F192" s="15">
        <v>2300</v>
      </c>
      <c r="G192" s="15">
        <v>2300</v>
      </c>
      <c r="H192" s="15">
        <v>2300</v>
      </c>
      <c r="I192" s="15">
        <v>2300</v>
      </c>
      <c r="J192" s="15">
        <v>2529.54</v>
      </c>
      <c r="K192" s="15">
        <v>2414.77</v>
      </c>
      <c r="L192" s="15">
        <v>2414.77</v>
      </c>
      <c r="M192" s="15">
        <v>2414.77</v>
      </c>
      <c r="N192" s="15">
        <v>2414.77</v>
      </c>
    </row>
    <row r="193" spans="1:14" x14ac:dyDescent="0.25">
      <c r="A193" s="10" t="s">
        <v>468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1500</v>
      </c>
      <c r="K193" s="15">
        <v>1500</v>
      </c>
      <c r="L193" s="15">
        <v>1500</v>
      </c>
      <c r="M193" s="15">
        <v>1500</v>
      </c>
      <c r="N193" s="15">
        <v>500</v>
      </c>
    </row>
    <row r="194" spans="1:14" x14ac:dyDescent="0.25">
      <c r="A194" s="10" t="s">
        <v>470</v>
      </c>
      <c r="B194" s="15">
        <v>0</v>
      </c>
      <c r="C194" s="15">
        <v>0</v>
      </c>
      <c r="D194" s="15">
        <v>0</v>
      </c>
      <c r="E194" s="15">
        <v>0</v>
      </c>
      <c r="F194" s="15">
        <v>0</v>
      </c>
      <c r="G194" s="15">
        <v>200</v>
      </c>
      <c r="H194" s="15">
        <v>1500</v>
      </c>
      <c r="I194" s="15">
        <v>1500</v>
      </c>
      <c r="J194" s="15">
        <v>1542.9</v>
      </c>
      <c r="K194" s="15">
        <v>1521.45</v>
      </c>
      <c r="L194" s="15">
        <v>1521.45</v>
      </c>
      <c r="M194" s="15">
        <v>1521.45</v>
      </c>
      <c r="N194" s="15">
        <v>0</v>
      </c>
    </row>
    <row r="195" spans="1:14" x14ac:dyDescent="0.25">
      <c r="A195" s="10" t="s">
        <v>472</v>
      </c>
      <c r="B195" s="15">
        <v>0</v>
      </c>
      <c r="C195" s="15">
        <v>0</v>
      </c>
      <c r="D195" s="15">
        <v>0</v>
      </c>
      <c r="E195" s="15">
        <v>0</v>
      </c>
      <c r="F195" s="15">
        <v>0</v>
      </c>
      <c r="G195" s="15">
        <v>0</v>
      </c>
      <c r="H195" s="15">
        <v>0</v>
      </c>
      <c r="I195" s="15">
        <v>393.32</v>
      </c>
      <c r="J195" s="15">
        <v>0</v>
      </c>
      <c r="K195" s="15">
        <v>0</v>
      </c>
      <c r="L195" s="15">
        <v>0</v>
      </c>
      <c r="M195" s="15">
        <v>0</v>
      </c>
      <c r="N195" s="15">
        <v>57.84</v>
      </c>
    </row>
    <row r="196" spans="1:14" x14ac:dyDescent="0.25">
      <c r="A196" s="10" t="s">
        <v>474</v>
      </c>
      <c r="B196" s="15">
        <v>2098.1999999999998</v>
      </c>
      <c r="C196" s="15">
        <v>2098.1999999999998</v>
      </c>
      <c r="D196" s="15">
        <v>2098.1999999999998</v>
      </c>
      <c r="E196" s="15">
        <v>2098.1999999999998</v>
      </c>
      <c r="F196" s="15">
        <v>4895.8</v>
      </c>
      <c r="G196" s="15">
        <v>0</v>
      </c>
      <c r="H196" s="15">
        <v>2098.1999999999998</v>
      </c>
      <c r="I196" s="15">
        <v>2098.1999999999998</v>
      </c>
      <c r="J196" s="15">
        <v>2457.42</v>
      </c>
      <c r="K196" s="15">
        <v>2277.81</v>
      </c>
      <c r="L196" s="15">
        <v>2277.81</v>
      </c>
      <c r="M196" s="15">
        <v>2277.81</v>
      </c>
      <c r="N196" s="15">
        <v>2277.81</v>
      </c>
    </row>
    <row r="197" spans="1:14" x14ac:dyDescent="0.25">
      <c r="A197" s="10" t="s">
        <v>476</v>
      </c>
      <c r="B197" s="15">
        <v>0</v>
      </c>
      <c r="C197" s="15">
        <v>0</v>
      </c>
      <c r="D197" s="15">
        <v>0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12000</v>
      </c>
      <c r="N197" s="15">
        <v>1000</v>
      </c>
    </row>
    <row r="198" spans="1:14" x14ac:dyDescent="0.25">
      <c r="A198" s="10" t="s">
        <v>478</v>
      </c>
      <c r="B198" s="15">
        <v>0</v>
      </c>
      <c r="C198" s="15">
        <v>0</v>
      </c>
      <c r="D198" s="15">
        <v>0</v>
      </c>
      <c r="E198" s="15">
        <v>600</v>
      </c>
      <c r="F198" s="15">
        <v>3000</v>
      </c>
      <c r="G198" s="15">
        <v>3000</v>
      </c>
      <c r="H198" s="15">
        <v>3000</v>
      </c>
      <c r="I198" s="15">
        <v>3000</v>
      </c>
      <c r="J198" s="15">
        <v>3171</v>
      </c>
      <c r="K198" s="15">
        <v>3085.5</v>
      </c>
      <c r="L198" s="15">
        <v>3085.5</v>
      </c>
      <c r="M198" s="15">
        <v>3085.5</v>
      </c>
      <c r="N198" s="15">
        <v>2057</v>
      </c>
    </row>
    <row r="199" spans="1:14" x14ac:dyDescent="0.25">
      <c r="A199" s="10" t="s">
        <v>480</v>
      </c>
      <c r="B199" s="15">
        <v>0</v>
      </c>
      <c r="C199" s="15">
        <v>0</v>
      </c>
      <c r="D199" s="15">
        <v>0</v>
      </c>
      <c r="E199" s="15">
        <v>0</v>
      </c>
      <c r="F199" s="15">
        <v>0</v>
      </c>
      <c r="G199" s="15">
        <v>9000</v>
      </c>
      <c r="H199" s="15">
        <v>9000</v>
      </c>
      <c r="I199" s="15">
        <v>9000</v>
      </c>
      <c r="J199" s="15">
        <v>9257.4</v>
      </c>
      <c r="K199" s="15">
        <v>9128.7000000000007</v>
      </c>
      <c r="L199" s="15">
        <v>9128.7000000000007</v>
      </c>
      <c r="M199" s="15">
        <v>9128.7000000000007</v>
      </c>
      <c r="N199" s="15">
        <v>5325.08</v>
      </c>
    </row>
    <row r="200" spans="1:14" x14ac:dyDescent="0.25">
      <c r="A200" s="10" t="s">
        <v>482</v>
      </c>
      <c r="B200" s="15">
        <v>8930</v>
      </c>
      <c r="C200" s="15">
        <v>8930</v>
      </c>
      <c r="D200" s="15">
        <v>13932</v>
      </c>
      <c r="E200" s="15">
        <v>8930</v>
      </c>
      <c r="F200" s="15">
        <v>8930</v>
      </c>
      <c r="G200" s="15">
        <v>11016.44</v>
      </c>
      <c r="H200" s="15">
        <v>8930</v>
      </c>
      <c r="I200" s="15">
        <v>8930</v>
      </c>
      <c r="J200" s="15">
        <v>10462.620000000001</v>
      </c>
      <c r="K200" s="15">
        <v>9696.31</v>
      </c>
      <c r="L200" s="15">
        <v>3555.31</v>
      </c>
      <c r="M200" s="15">
        <v>0</v>
      </c>
      <c r="N200" s="15">
        <v>9696.31</v>
      </c>
    </row>
    <row r="201" spans="1:14" x14ac:dyDescent="0.25">
      <c r="A201" s="10" t="s">
        <v>484</v>
      </c>
      <c r="B201" s="15">
        <v>14175</v>
      </c>
      <c r="C201" s="15">
        <v>14175</v>
      </c>
      <c r="D201" s="15">
        <v>27537.25</v>
      </c>
      <c r="E201" s="15">
        <v>15026</v>
      </c>
      <c r="F201" s="15">
        <v>15026</v>
      </c>
      <c r="G201" s="15">
        <v>15026</v>
      </c>
      <c r="H201" s="15">
        <v>15026</v>
      </c>
      <c r="I201" s="15">
        <v>15026</v>
      </c>
      <c r="J201" s="15">
        <v>17598.46</v>
      </c>
      <c r="K201" s="15">
        <v>16312.23</v>
      </c>
      <c r="L201" s="15">
        <v>16312.23</v>
      </c>
      <c r="M201" s="15">
        <v>16312.23</v>
      </c>
      <c r="N201" s="15">
        <v>16312.23</v>
      </c>
    </row>
    <row r="202" spans="1:14" x14ac:dyDescent="0.25">
      <c r="A202" s="10" t="s">
        <v>486</v>
      </c>
      <c r="B202" s="15">
        <v>5682.58</v>
      </c>
      <c r="C202" s="15">
        <v>5682.58</v>
      </c>
      <c r="D202" s="15">
        <v>5682.58</v>
      </c>
      <c r="E202" s="15">
        <v>6945.38</v>
      </c>
      <c r="F202" s="15">
        <v>5682.58</v>
      </c>
      <c r="G202" s="15">
        <v>5737.75</v>
      </c>
      <c r="H202" s="15">
        <v>5737.75</v>
      </c>
      <c r="I202" s="15">
        <v>7988.44</v>
      </c>
      <c r="J202" s="15">
        <v>6301.78</v>
      </c>
      <c r="K202" s="15">
        <v>6301.78</v>
      </c>
      <c r="L202" s="15">
        <v>6301.78</v>
      </c>
      <c r="M202" s="15">
        <v>6301.78</v>
      </c>
      <c r="N202" s="15">
        <v>6301.78</v>
      </c>
    </row>
    <row r="203" spans="1:14" x14ac:dyDescent="0.25">
      <c r="A203" s="10" t="s">
        <v>488</v>
      </c>
      <c r="B203" s="15">
        <v>10495.48</v>
      </c>
      <c r="C203" s="15">
        <v>10495.48</v>
      </c>
      <c r="D203" s="15">
        <v>15393.36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15">
        <v>0</v>
      </c>
      <c r="N203" s="15">
        <v>1749.25</v>
      </c>
    </row>
    <row r="204" spans="1:14" x14ac:dyDescent="0.25">
      <c r="A204" s="10" t="s">
        <v>490</v>
      </c>
      <c r="B204" s="15">
        <v>3835.75</v>
      </c>
      <c r="C204" s="15">
        <v>3835.75</v>
      </c>
      <c r="D204" s="15">
        <v>3835.75</v>
      </c>
      <c r="E204" s="15">
        <v>3835.75</v>
      </c>
      <c r="F204" s="15">
        <v>3872.99</v>
      </c>
      <c r="G204" s="15">
        <v>3872.99</v>
      </c>
      <c r="H204" s="15">
        <v>3872.99</v>
      </c>
      <c r="I204" s="15">
        <v>5395.83</v>
      </c>
      <c r="J204" s="15">
        <v>4253.7</v>
      </c>
      <c r="K204" s="15">
        <v>4253.7</v>
      </c>
      <c r="L204" s="15">
        <v>4253.7</v>
      </c>
      <c r="M204" s="15">
        <v>4253.7</v>
      </c>
      <c r="N204" s="15">
        <v>4253.7</v>
      </c>
    </row>
    <row r="205" spans="1:14" x14ac:dyDescent="0.25">
      <c r="A205" s="10" t="s">
        <v>492</v>
      </c>
      <c r="B205" s="15">
        <v>0</v>
      </c>
      <c r="C205" s="15">
        <v>0</v>
      </c>
      <c r="D205" s="15">
        <v>0</v>
      </c>
      <c r="E205" s="15">
        <v>0</v>
      </c>
      <c r="F205" s="15">
        <v>0</v>
      </c>
      <c r="G205" s="15">
        <v>1500</v>
      </c>
      <c r="H205" s="15">
        <v>2500</v>
      </c>
      <c r="I205" s="15">
        <v>2500</v>
      </c>
      <c r="J205" s="15">
        <v>2571.5</v>
      </c>
      <c r="K205" s="15">
        <v>2535.75</v>
      </c>
      <c r="L205" s="15">
        <v>2535.75</v>
      </c>
      <c r="M205" s="15">
        <v>2535.75</v>
      </c>
      <c r="N205" s="15">
        <v>1479.19</v>
      </c>
    </row>
    <row r="206" spans="1:14" x14ac:dyDescent="0.25">
      <c r="A206" s="10" t="s">
        <v>494</v>
      </c>
      <c r="B206" s="15">
        <v>3288.53</v>
      </c>
      <c r="C206" s="15">
        <v>3288.53</v>
      </c>
      <c r="D206" s="15">
        <v>3288.53</v>
      </c>
      <c r="E206" s="15">
        <v>3288.53</v>
      </c>
      <c r="F206" s="15">
        <v>3288.53</v>
      </c>
      <c r="G206" s="15">
        <v>7673.24</v>
      </c>
      <c r="H206" s="15">
        <v>0</v>
      </c>
      <c r="I206" s="15">
        <v>4794.54</v>
      </c>
      <c r="J206" s="15">
        <v>3646.86</v>
      </c>
      <c r="K206" s="15">
        <v>3646.86</v>
      </c>
      <c r="L206" s="15">
        <v>3646.86</v>
      </c>
      <c r="M206" s="15">
        <v>3646.86</v>
      </c>
      <c r="N206" s="15">
        <v>3646.86</v>
      </c>
    </row>
    <row r="207" spans="1:14" x14ac:dyDescent="0.25">
      <c r="A207" s="10" t="s">
        <v>496</v>
      </c>
      <c r="B207" s="15">
        <v>0</v>
      </c>
      <c r="C207" s="15">
        <v>0</v>
      </c>
      <c r="D207" s="15">
        <v>0</v>
      </c>
      <c r="E207" s="15">
        <v>0</v>
      </c>
      <c r="F207" s="15">
        <v>0</v>
      </c>
      <c r="G207" s="15">
        <v>5345.67</v>
      </c>
      <c r="H207" s="15">
        <v>5530</v>
      </c>
      <c r="I207" s="15">
        <v>5530</v>
      </c>
      <c r="J207" s="15">
        <v>5688.16</v>
      </c>
      <c r="K207" s="15">
        <v>5609.08</v>
      </c>
      <c r="L207" s="15">
        <v>5609.08</v>
      </c>
      <c r="M207" s="15">
        <v>5609.08</v>
      </c>
      <c r="N207" s="15">
        <v>3271.96</v>
      </c>
    </row>
    <row r="208" spans="1:14" x14ac:dyDescent="0.25">
      <c r="A208" s="10" t="s">
        <v>498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5932.43</v>
      </c>
      <c r="H208" s="15">
        <v>6137</v>
      </c>
      <c r="I208" s="15">
        <v>6137</v>
      </c>
      <c r="J208" s="15">
        <v>4860.08</v>
      </c>
      <c r="K208" s="15">
        <v>6224.76</v>
      </c>
      <c r="L208" s="15">
        <v>6224.76</v>
      </c>
      <c r="M208" s="15">
        <v>6224.76</v>
      </c>
      <c r="N208" s="15">
        <v>3631.11</v>
      </c>
    </row>
    <row r="209" spans="1:14" x14ac:dyDescent="0.25">
      <c r="A209" s="10" t="s">
        <v>500</v>
      </c>
      <c r="B209" s="15">
        <v>7953.38</v>
      </c>
      <c r="C209" s="15">
        <v>8030.6</v>
      </c>
      <c r="D209" s="15">
        <v>8030.6</v>
      </c>
      <c r="E209" s="15">
        <v>8030.6</v>
      </c>
      <c r="F209" s="15">
        <v>8030.6</v>
      </c>
      <c r="G209" s="15">
        <v>8030.6</v>
      </c>
      <c r="H209" s="15">
        <v>8030.6</v>
      </c>
      <c r="I209" s="15">
        <v>11188.24</v>
      </c>
      <c r="J209" s="15">
        <v>8820.01</v>
      </c>
      <c r="K209" s="15">
        <v>8820.01</v>
      </c>
      <c r="L209" s="15">
        <v>8820.01</v>
      </c>
      <c r="M209" s="15">
        <v>20580.02</v>
      </c>
      <c r="N209" s="15">
        <v>8820.01</v>
      </c>
    </row>
    <row r="210" spans="1:14" x14ac:dyDescent="0.25">
      <c r="A210" s="10" t="s">
        <v>502</v>
      </c>
      <c r="B210" s="15">
        <v>5000</v>
      </c>
      <c r="C210" s="15">
        <v>5000</v>
      </c>
      <c r="D210" s="15">
        <v>1333.33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833.33</v>
      </c>
    </row>
    <row r="211" spans="1:14" x14ac:dyDescent="0.25">
      <c r="A211" s="10" t="s">
        <v>504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4579.87</v>
      </c>
      <c r="I211" s="15">
        <v>4907</v>
      </c>
      <c r="J211" s="15">
        <v>4976.68</v>
      </c>
      <c r="K211" s="15">
        <v>4941.84</v>
      </c>
      <c r="L211" s="15">
        <v>4941.84</v>
      </c>
      <c r="M211" s="15">
        <v>4941.84</v>
      </c>
      <c r="N211" s="15">
        <v>2470.92</v>
      </c>
    </row>
    <row r="212" spans="1:14" x14ac:dyDescent="0.25">
      <c r="A212" s="10" t="s">
        <v>506</v>
      </c>
      <c r="B212" s="15">
        <v>4000</v>
      </c>
      <c r="C212" s="15">
        <v>4000</v>
      </c>
      <c r="D212" s="15">
        <v>4000</v>
      </c>
      <c r="E212" s="15">
        <v>4000</v>
      </c>
      <c r="F212" s="15">
        <v>4000</v>
      </c>
      <c r="G212" s="15">
        <v>4000</v>
      </c>
      <c r="H212" s="15">
        <v>1466.67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2499.6999999999998</v>
      </c>
    </row>
    <row r="213" spans="1:14" x14ac:dyDescent="0.25">
      <c r="A213" s="10" t="s">
        <v>508</v>
      </c>
      <c r="B213" s="15">
        <v>0</v>
      </c>
      <c r="C213" s="15">
        <v>0</v>
      </c>
      <c r="D213" s="15">
        <v>0</v>
      </c>
      <c r="E213" s="15">
        <v>0</v>
      </c>
      <c r="F213" s="15">
        <v>0</v>
      </c>
      <c r="G213" s="15">
        <v>0</v>
      </c>
      <c r="H213" s="15">
        <v>0</v>
      </c>
      <c r="I213" s="15">
        <v>0</v>
      </c>
      <c r="J213" s="15">
        <v>5600</v>
      </c>
      <c r="K213" s="15">
        <v>5600</v>
      </c>
      <c r="L213" s="15">
        <v>5600</v>
      </c>
      <c r="M213" s="15">
        <v>5600</v>
      </c>
      <c r="N213" s="15">
        <v>1866.67</v>
      </c>
    </row>
    <row r="214" spans="1:14" x14ac:dyDescent="0.25">
      <c r="A214" s="10" t="s">
        <v>510</v>
      </c>
      <c r="B214" s="15">
        <v>11041.31</v>
      </c>
      <c r="C214" s="15">
        <v>9569.14</v>
      </c>
      <c r="D214" s="15">
        <v>13250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2760.33</v>
      </c>
    </row>
    <row r="215" spans="1:14" x14ac:dyDescent="0.25">
      <c r="A215" s="10" t="s">
        <v>512</v>
      </c>
      <c r="B215" s="15">
        <v>16320</v>
      </c>
      <c r="C215" s="15">
        <v>16320</v>
      </c>
      <c r="D215" s="15">
        <v>48320</v>
      </c>
      <c r="E215" s="15">
        <v>16320</v>
      </c>
      <c r="F215" s="15">
        <v>16320</v>
      </c>
      <c r="G215" s="15">
        <v>16320</v>
      </c>
      <c r="H215" s="15">
        <v>16320</v>
      </c>
      <c r="I215" s="15">
        <v>32968.300000000003</v>
      </c>
      <c r="J215" s="15">
        <v>12066.65</v>
      </c>
      <c r="K215" s="15">
        <v>18099.98</v>
      </c>
      <c r="L215" s="15">
        <v>18099.98</v>
      </c>
      <c r="M215" s="15">
        <v>18099.98</v>
      </c>
      <c r="N215" s="15">
        <v>18099.98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/>
  <dimension ref="A1:C2"/>
  <sheetViews>
    <sheetView topLeftCell="B1" workbookViewId="0">
      <selection activeCell="A3" sqref="A3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</cols>
  <sheetData>
    <row r="1" spans="1:3" ht="47.85" customHeight="1" x14ac:dyDescent="0.25">
      <c r="A1" s="26" t="s">
        <v>68</v>
      </c>
      <c r="B1" s="26"/>
      <c r="C1" s="26"/>
    </row>
    <row r="2" spans="1:3" x14ac:dyDescent="0.25">
      <c r="A2" s="4"/>
      <c r="B2" s="4" t="s">
        <v>30</v>
      </c>
      <c r="C2" s="4" t="s">
        <v>10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/>
  <dimension ref="A1:D215"/>
  <sheetViews>
    <sheetView topLeftCell="B1" workbookViewId="0">
      <selection activeCell="A2" sqref="A2"/>
    </sheetView>
  </sheetViews>
  <sheetFormatPr defaultRowHeight="15" x14ac:dyDescent="0.25"/>
  <cols>
    <col min="1" max="1" width="11.875" style="10" hidden="1" customWidth="1"/>
    <col min="2" max="2" width="11.875" style="10" bestFit="1" customWidth="1"/>
    <col min="3" max="3" width="41.625" style="9" bestFit="1" customWidth="1"/>
    <col min="4" max="4" width="9.375" style="9" customWidth="1"/>
  </cols>
  <sheetData>
    <row r="1" spans="1:4" ht="47.85" customHeight="1" x14ac:dyDescent="0.25">
      <c r="A1" s="26" t="s">
        <v>69</v>
      </c>
      <c r="B1" s="27"/>
      <c r="C1" s="27"/>
      <c r="D1" s="27"/>
    </row>
    <row r="2" spans="1:4" ht="60" x14ac:dyDescent="0.25">
      <c r="A2" s="4"/>
      <c r="B2" s="4" t="s">
        <v>0</v>
      </c>
      <c r="C2" s="4" t="s">
        <v>23</v>
      </c>
      <c r="D2" s="4" t="s">
        <v>29</v>
      </c>
    </row>
    <row r="3" spans="1:4" x14ac:dyDescent="0.25">
      <c r="A3" s="10" t="s">
        <v>88</v>
      </c>
      <c r="B3" s="10" t="s">
        <v>88</v>
      </c>
      <c r="C3" s="9" t="s">
        <v>89</v>
      </c>
    </row>
    <row r="4" spans="1:4" x14ac:dyDescent="0.25">
      <c r="A4" s="10" t="s">
        <v>90</v>
      </c>
      <c r="B4" s="10" t="s">
        <v>90</v>
      </c>
      <c r="C4" s="9" t="s">
        <v>91</v>
      </c>
    </row>
    <row r="5" spans="1:4" x14ac:dyDescent="0.25">
      <c r="A5" s="10" t="s">
        <v>92</v>
      </c>
      <c r="B5" s="10" t="s">
        <v>92</v>
      </c>
      <c r="C5" s="9" t="s">
        <v>93</v>
      </c>
    </row>
    <row r="6" spans="1:4" x14ac:dyDescent="0.25">
      <c r="A6" s="10" t="s">
        <v>94</v>
      </c>
      <c r="B6" s="10" t="s">
        <v>94</v>
      </c>
      <c r="C6" s="9" t="s">
        <v>95</v>
      </c>
    </row>
    <row r="7" spans="1:4" x14ac:dyDescent="0.25">
      <c r="A7" s="10" t="s">
        <v>96</v>
      </c>
      <c r="B7" s="10" t="s">
        <v>96</v>
      </c>
      <c r="C7" s="9" t="s">
        <v>97</v>
      </c>
    </row>
    <row r="8" spans="1:4" x14ac:dyDescent="0.25">
      <c r="A8" s="10" t="s">
        <v>98</v>
      </c>
      <c r="B8" s="10" t="s">
        <v>98</v>
      </c>
      <c r="C8" s="9" t="s">
        <v>99</v>
      </c>
    </row>
    <row r="9" spans="1:4" x14ac:dyDescent="0.25">
      <c r="A9" s="10" t="s">
        <v>100</v>
      </c>
      <c r="B9" s="10" t="s">
        <v>100</v>
      </c>
      <c r="C9" s="9" t="s">
        <v>101</v>
      </c>
    </row>
    <row r="10" spans="1:4" x14ac:dyDescent="0.25">
      <c r="A10" s="10" t="s">
        <v>102</v>
      </c>
      <c r="B10" s="10" t="s">
        <v>102</v>
      </c>
      <c r="C10" s="9" t="s">
        <v>103</v>
      </c>
    </row>
    <row r="11" spans="1:4" x14ac:dyDescent="0.25">
      <c r="A11" s="10" t="s">
        <v>104</v>
      </c>
      <c r="B11" s="10" t="s">
        <v>104</v>
      </c>
      <c r="C11" s="9" t="s">
        <v>105</v>
      </c>
    </row>
    <row r="12" spans="1:4" x14ac:dyDescent="0.25">
      <c r="A12" s="10" t="s">
        <v>106</v>
      </c>
      <c r="B12" s="10" t="s">
        <v>106</v>
      </c>
      <c r="C12" s="9" t="s">
        <v>107</v>
      </c>
    </row>
    <row r="13" spans="1:4" x14ac:dyDescent="0.25">
      <c r="A13" s="10" t="s">
        <v>108</v>
      </c>
      <c r="B13" s="10" t="s">
        <v>108</v>
      </c>
      <c r="C13" s="9" t="s">
        <v>109</v>
      </c>
    </row>
    <row r="14" spans="1:4" x14ac:dyDescent="0.25">
      <c r="A14" s="10" t="s">
        <v>110</v>
      </c>
      <c r="B14" s="10" t="s">
        <v>110</v>
      </c>
      <c r="C14" s="9" t="s">
        <v>111</v>
      </c>
    </row>
    <row r="15" spans="1:4" x14ac:dyDescent="0.25">
      <c r="A15" s="10" t="s">
        <v>112</v>
      </c>
      <c r="B15" s="10" t="s">
        <v>112</v>
      </c>
      <c r="C15" s="9" t="s">
        <v>113</v>
      </c>
    </row>
    <row r="16" spans="1:4" x14ac:dyDescent="0.25">
      <c r="A16" s="10" t="s">
        <v>114</v>
      </c>
      <c r="B16" s="10" t="s">
        <v>114</v>
      </c>
      <c r="C16" s="9" t="s">
        <v>115</v>
      </c>
    </row>
    <row r="17" spans="1:3" x14ac:dyDescent="0.25">
      <c r="A17" s="10" t="s">
        <v>116</v>
      </c>
      <c r="B17" s="10" t="s">
        <v>116</v>
      </c>
      <c r="C17" s="9" t="s">
        <v>117</v>
      </c>
    </row>
    <row r="18" spans="1:3" x14ac:dyDescent="0.25">
      <c r="A18" s="10" t="s">
        <v>118</v>
      </c>
      <c r="B18" s="10" t="s">
        <v>118</v>
      </c>
      <c r="C18" s="9" t="s">
        <v>119</v>
      </c>
    </row>
    <row r="19" spans="1:3" x14ac:dyDescent="0.25">
      <c r="A19" s="10" t="s">
        <v>120</v>
      </c>
      <c r="B19" s="10" t="s">
        <v>120</v>
      </c>
      <c r="C19" s="9" t="s">
        <v>121</v>
      </c>
    </row>
    <row r="20" spans="1:3" x14ac:dyDescent="0.25">
      <c r="A20" s="10" t="s">
        <v>122</v>
      </c>
      <c r="B20" s="10" t="s">
        <v>122</v>
      </c>
      <c r="C20" s="9" t="s">
        <v>123</v>
      </c>
    </row>
    <row r="21" spans="1:3" x14ac:dyDescent="0.25">
      <c r="A21" s="10" t="s">
        <v>124</v>
      </c>
      <c r="B21" s="10" t="s">
        <v>124</v>
      </c>
      <c r="C21" s="9" t="s">
        <v>125</v>
      </c>
    </row>
    <row r="22" spans="1:3" x14ac:dyDescent="0.25">
      <c r="A22" s="10" t="s">
        <v>126</v>
      </c>
      <c r="B22" s="10" t="s">
        <v>126</v>
      </c>
      <c r="C22" s="9" t="s">
        <v>127</v>
      </c>
    </row>
    <row r="23" spans="1:3" x14ac:dyDescent="0.25">
      <c r="A23" s="10" t="s">
        <v>128</v>
      </c>
      <c r="B23" s="10" t="s">
        <v>128</v>
      </c>
      <c r="C23" s="9" t="s">
        <v>129</v>
      </c>
    </row>
    <row r="24" spans="1:3" x14ac:dyDescent="0.25">
      <c r="A24" s="10" t="s">
        <v>130</v>
      </c>
      <c r="B24" s="10" t="s">
        <v>130</v>
      </c>
      <c r="C24" s="9" t="s">
        <v>131</v>
      </c>
    </row>
    <row r="25" spans="1:3" x14ac:dyDescent="0.25">
      <c r="A25" s="10" t="s">
        <v>132</v>
      </c>
      <c r="B25" s="10" t="s">
        <v>132</v>
      </c>
      <c r="C25" s="9" t="s">
        <v>133</v>
      </c>
    </row>
    <row r="26" spans="1:3" x14ac:dyDescent="0.25">
      <c r="A26" s="10" t="s">
        <v>134</v>
      </c>
      <c r="B26" s="10" t="s">
        <v>134</v>
      </c>
      <c r="C26" s="9" t="s">
        <v>135</v>
      </c>
    </row>
    <row r="27" spans="1:3" x14ac:dyDescent="0.25">
      <c r="A27" s="10" t="s">
        <v>136</v>
      </c>
      <c r="B27" s="10" t="s">
        <v>136</v>
      </c>
      <c r="C27" s="9" t="s">
        <v>137</v>
      </c>
    </row>
    <row r="28" spans="1:3" x14ac:dyDescent="0.25">
      <c r="A28" s="10" t="s">
        <v>138</v>
      </c>
      <c r="B28" s="10" t="s">
        <v>138</v>
      </c>
      <c r="C28" s="9" t="s">
        <v>139</v>
      </c>
    </row>
    <row r="29" spans="1:3" x14ac:dyDescent="0.25">
      <c r="A29" s="10" t="s">
        <v>140</v>
      </c>
      <c r="B29" s="10" t="s">
        <v>140</v>
      </c>
      <c r="C29" s="9" t="s">
        <v>141</v>
      </c>
    </row>
    <row r="30" spans="1:3" x14ac:dyDescent="0.25">
      <c r="A30" s="10" t="s">
        <v>142</v>
      </c>
      <c r="B30" s="10" t="s">
        <v>142</v>
      </c>
      <c r="C30" s="9" t="s">
        <v>143</v>
      </c>
    </row>
    <row r="31" spans="1:3" x14ac:dyDescent="0.25">
      <c r="A31" s="10" t="s">
        <v>144</v>
      </c>
      <c r="B31" s="10" t="s">
        <v>144</v>
      </c>
      <c r="C31" s="9" t="s">
        <v>145</v>
      </c>
    </row>
    <row r="32" spans="1:3" x14ac:dyDescent="0.25">
      <c r="A32" s="10" t="s">
        <v>146</v>
      </c>
      <c r="B32" s="10" t="s">
        <v>146</v>
      </c>
      <c r="C32" s="9" t="s">
        <v>147</v>
      </c>
    </row>
    <row r="33" spans="1:3" x14ac:dyDescent="0.25">
      <c r="A33" s="10" t="s">
        <v>148</v>
      </c>
      <c r="B33" s="10" t="s">
        <v>148</v>
      </c>
      <c r="C33" s="9" t="s">
        <v>149</v>
      </c>
    </row>
    <row r="34" spans="1:3" x14ac:dyDescent="0.25">
      <c r="A34" s="10" t="s">
        <v>150</v>
      </c>
      <c r="B34" s="10" t="s">
        <v>150</v>
      </c>
      <c r="C34" s="9" t="s">
        <v>151</v>
      </c>
    </row>
    <row r="35" spans="1:3" x14ac:dyDescent="0.25">
      <c r="A35" s="10" t="s">
        <v>152</v>
      </c>
      <c r="B35" s="10" t="s">
        <v>152</v>
      </c>
      <c r="C35" s="9" t="s">
        <v>153</v>
      </c>
    </row>
    <row r="36" spans="1:3" x14ac:dyDescent="0.25">
      <c r="A36" s="10" t="s">
        <v>154</v>
      </c>
      <c r="B36" s="10" t="s">
        <v>154</v>
      </c>
      <c r="C36" s="9" t="s">
        <v>155</v>
      </c>
    </row>
    <row r="37" spans="1:3" x14ac:dyDescent="0.25">
      <c r="A37" s="10" t="s">
        <v>156</v>
      </c>
      <c r="B37" s="10" t="s">
        <v>156</v>
      </c>
      <c r="C37" s="9" t="s">
        <v>157</v>
      </c>
    </row>
    <row r="38" spans="1:3" x14ac:dyDescent="0.25">
      <c r="A38" s="10" t="s">
        <v>158</v>
      </c>
      <c r="B38" s="10" t="s">
        <v>158</v>
      </c>
      <c r="C38" s="9" t="s">
        <v>159</v>
      </c>
    </row>
    <row r="39" spans="1:3" x14ac:dyDescent="0.25">
      <c r="A39" s="10" t="s">
        <v>160</v>
      </c>
      <c r="B39" s="10" t="s">
        <v>160</v>
      </c>
      <c r="C39" s="9" t="s">
        <v>161</v>
      </c>
    </row>
    <row r="40" spans="1:3" x14ac:dyDescent="0.25">
      <c r="A40" s="10" t="s">
        <v>162</v>
      </c>
      <c r="B40" s="10" t="s">
        <v>162</v>
      </c>
      <c r="C40" s="9" t="s">
        <v>163</v>
      </c>
    </row>
    <row r="41" spans="1:3" x14ac:dyDescent="0.25">
      <c r="A41" s="10" t="s">
        <v>164</v>
      </c>
      <c r="B41" s="10" t="s">
        <v>164</v>
      </c>
      <c r="C41" s="9" t="s">
        <v>165</v>
      </c>
    </row>
    <row r="42" spans="1:3" x14ac:dyDescent="0.25">
      <c r="A42" s="10" t="s">
        <v>166</v>
      </c>
      <c r="B42" s="10" t="s">
        <v>166</v>
      </c>
      <c r="C42" s="9" t="s">
        <v>167</v>
      </c>
    </row>
    <row r="43" spans="1:3" x14ac:dyDescent="0.25">
      <c r="A43" s="10" t="s">
        <v>168</v>
      </c>
      <c r="B43" s="10" t="s">
        <v>168</v>
      </c>
      <c r="C43" s="9" t="s">
        <v>169</v>
      </c>
    </row>
    <row r="44" spans="1:3" x14ac:dyDescent="0.25">
      <c r="A44" s="10" t="s">
        <v>170</v>
      </c>
      <c r="B44" s="10" t="s">
        <v>170</v>
      </c>
      <c r="C44" s="9" t="s">
        <v>171</v>
      </c>
    </row>
    <row r="45" spans="1:3" x14ac:dyDescent="0.25">
      <c r="A45" s="10" t="s">
        <v>172</v>
      </c>
      <c r="B45" s="10" t="s">
        <v>172</v>
      </c>
      <c r="C45" s="9" t="s">
        <v>173</v>
      </c>
    </row>
    <row r="46" spans="1:3" x14ac:dyDescent="0.25">
      <c r="A46" s="10" t="s">
        <v>174</v>
      </c>
      <c r="B46" s="10" t="s">
        <v>174</v>
      </c>
      <c r="C46" s="9" t="s">
        <v>175</v>
      </c>
    </row>
    <row r="47" spans="1:3" x14ac:dyDescent="0.25">
      <c r="A47" s="10" t="s">
        <v>176</v>
      </c>
      <c r="B47" s="10" t="s">
        <v>176</v>
      </c>
      <c r="C47" s="9" t="s">
        <v>177</v>
      </c>
    </row>
    <row r="48" spans="1:3" x14ac:dyDescent="0.25">
      <c r="A48" s="10" t="s">
        <v>178</v>
      </c>
      <c r="B48" s="10" t="s">
        <v>178</v>
      </c>
      <c r="C48" s="9" t="s">
        <v>179</v>
      </c>
    </row>
    <row r="49" spans="1:3" x14ac:dyDescent="0.25">
      <c r="A49" s="10" t="s">
        <v>180</v>
      </c>
      <c r="B49" s="10" t="s">
        <v>180</v>
      </c>
      <c r="C49" s="9" t="s">
        <v>181</v>
      </c>
    </row>
    <row r="50" spans="1:3" x14ac:dyDescent="0.25">
      <c r="A50" s="10" t="s">
        <v>182</v>
      </c>
      <c r="B50" s="10" t="s">
        <v>182</v>
      </c>
      <c r="C50" s="9" t="s">
        <v>183</v>
      </c>
    </row>
    <row r="51" spans="1:3" x14ac:dyDescent="0.25">
      <c r="A51" s="10" t="s">
        <v>184</v>
      </c>
      <c r="B51" s="10" t="s">
        <v>184</v>
      </c>
      <c r="C51" s="9" t="s">
        <v>185</v>
      </c>
    </row>
    <row r="52" spans="1:3" x14ac:dyDescent="0.25">
      <c r="A52" s="10" t="s">
        <v>186</v>
      </c>
      <c r="B52" s="10" t="s">
        <v>186</v>
      </c>
      <c r="C52" s="9" t="s">
        <v>187</v>
      </c>
    </row>
    <row r="53" spans="1:3" x14ac:dyDescent="0.25">
      <c r="A53" s="10" t="s">
        <v>188</v>
      </c>
      <c r="B53" s="10" t="s">
        <v>188</v>
      </c>
      <c r="C53" s="9" t="s">
        <v>189</v>
      </c>
    </row>
    <row r="54" spans="1:3" x14ac:dyDescent="0.25">
      <c r="A54" s="10" t="s">
        <v>190</v>
      </c>
      <c r="B54" s="10" t="s">
        <v>190</v>
      </c>
      <c r="C54" s="9" t="s">
        <v>191</v>
      </c>
    </row>
    <row r="55" spans="1:3" x14ac:dyDescent="0.25">
      <c r="A55" s="10" t="s">
        <v>192</v>
      </c>
      <c r="B55" s="10" t="s">
        <v>192</v>
      </c>
      <c r="C55" s="9" t="s">
        <v>193</v>
      </c>
    </row>
    <row r="56" spans="1:3" x14ac:dyDescent="0.25">
      <c r="A56" s="10" t="s">
        <v>194</v>
      </c>
      <c r="B56" s="10" t="s">
        <v>194</v>
      </c>
      <c r="C56" s="9" t="s">
        <v>195</v>
      </c>
    </row>
    <row r="57" spans="1:3" x14ac:dyDescent="0.25">
      <c r="A57" s="10" t="s">
        <v>196</v>
      </c>
      <c r="B57" s="10" t="s">
        <v>196</v>
      </c>
      <c r="C57" s="9" t="s">
        <v>197</v>
      </c>
    </row>
    <row r="58" spans="1:3" x14ac:dyDescent="0.25">
      <c r="A58" s="10" t="s">
        <v>198</v>
      </c>
      <c r="B58" s="10" t="s">
        <v>198</v>
      </c>
      <c r="C58" s="9" t="s">
        <v>199</v>
      </c>
    </row>
    <row r="59" spans="1:3" x14ac:dyDescent="0.25">
      <c r="A59" s="10" t="s">
        <v>200</v>
      </c>
      <c r="B59" s="10" t="s">
        <v>200</v>
      </c>
      <c r="C59" s="9" t="s">
        <v>201</v>
      </c>
    </row>
    <row r="60" spans="1:3" x14ac:dyDescent="0.25">
      <c r="A60" s="10" t="s">
        <v>202</v>
      </c>
      <c r="B60" s="10" t="s">
        <v>202</v>
      </c>
      <c r="C60" s="9" t="s">
        <v>203</v>
      </c>
    </row>
    <row r="61" spans="1:3" x14ac:dyDescent="0.25">
      <c r="A61" s="10" t="s">
        <v>204</v>
      </c>
      <c r="B61" s="10" t="s">
        <v>204</v>
      </c>
      <c r="C61" s="9" t="s">
        <v>205</v>
      </c>
    </row>
    <row r="62" spans="1:3" x14ac:dyDescent="0.25">
      <c r="A62" s="10" t="s">
        <v>206</v>
      </c>
      <c r="B62" s="10" t="s">
        <v>206</v>
      </c>
      <c r="C62" s="9" t="s">
        <v>207</v>
      </c>
    </row>
    <row r="63" spans="1:3" x14ac:dyDescent="0.25">
      <c r="A63" s="10" t="s">
        <v>208</v>
      </c>
      <c r="B63" s="10" t="s">
        <v>208</v>
      </c>
      <c r="C63" s="9" t="s">
        <v>209</v>
      </c>
    </row>
    <row r="64" spans="1:3" x14ac:dyDescent="0.25">
      <c r="A64" s="10" t="s">
        <v>210</v>
      </c>
      <c r="B64" s="10" t="s">
        <v>210</v>
      </c>
      <c r="C64" s="9" t="s">
        <v>211</v>
      </c>
    </row>
    <row r="65" spans="1:3" x14ac:dyDescent="0.25">
      <c r="A65" s="10" t="s">
        <v>212</v>
      </c>
      <c r="B65" s="10" t="s">
        <v>212</v>
      </c>
      <c r="C65" s="9" t="s">
        <v>213</v>
      </c>
    </row>
    <row r="66" spans="1:3" x14ac:dyDescent="0.25">
      <c r="A66" s="10" t="s">
        <v>214</v>
      </c>
      <c r="B66" s="10" t="s">
        <v>214</v>
      </c>
      <c r="C66" s="9" t="s">
        <v>215</v>
      </c>
    </row>
    <row r="67" spans="1:3" x14ac:dyDescent="0.25">
      <c r="A67" s="10" t="s">
        <v>216</v>
      </c>
      <c r="B67" s="10" t="s">
        <v>216</v>
      </c>
      <c r="C67" s="9" t="s">
        <v>217</v>
      </c>
    </row>
    <row r="68" spans="1:3" x14ac:dyDescent="0.25">
      <c r="A68" s="10" t="s">
        <v>218</v>
      </c>
      <c r="B68" s="10" t="s">
        <v>218</v>
      </c>
      <c r="C68" s="9" t="s">
        <v>219</v>
      </c>
    </row>
    <row r="69" spans="1:3" x14ac:dyDescent="0.25">
      <c r="A69" s="10" t="s">
        <v>220</v>
      </c>
      <c r="B69" s="10" t="s">
        <v>220</v>
      </c>
      <c r="C69" s="9" t="s">
        <v>221</v>
      </c>
    </row>
    <row r="70" spans="1:3" x14ac:dyDescent="0.25">
      <c r="A70" s="10" t="s">
        <v>222</v>
      </c>
      <c r="B70" s="10" t="s">
        <v>222</v>
      </c>
      <c r="C70" s="9" t="s">
        <v>223</v>
      </c>
    </row>
    <row r="71" spans="1:3" x14ac:dyDescent="0.25">
      <c r="A71" s="10" t="s">
        <v>224</v>
      </c>
      <c r="B71" s="10" t="s">
        <v>224</v>
      </c>
      <c r="C71" s="9" t="s">
        <v>225</v>
      </c>
    </row>
    <row r="72" spans="1:3" x14ac:dyDescent="0.25">
      <c r="A72" s="10" t="s">
        <v>226</v>
      </c>
      <c r="B72" s="10" t="s">
        <v>226</v>
      </c>
      <c r="C72" s="9" t="s">
        <v>227</v>
      </c>
    </row>
    <row r="73" spans="1:3" x14ac:dyDescent="0.25">
      <c r="A73" s="10" t="s">
        <v>228</v>
      </c>
      <c r="B73" s="10" t="s">
        <v>228</v>
      </c>
      <c r="C73" s="9" t="s">
        <v>229</v>
      </c>
    </row>
    <row r="74" spans="1:3" x14ac:dyDescent="0.25">
      <c r="A74" s="10" t="s">
        <v>230</v>
      </c>
      <c r="B74" s="10" t="s">
        <v>230</v>
      </c>
      <c r="C74" s="9" t="s">
        <v>231</v>
      </c>
    </row>
    <row r="75" spans="1:3" x14ac:dyDescent="0.25">
      <c r="A75" s="10" t="s">
        <v>232</v>
      </c>
      <c r="B75" s="10" t="s">
        <v>232</v>
      </c>
      <c r="C75" s="9" t="s">
        <v>233</v>
      </c>
    </row>
    <row r="76" spans="1:3" x14ac:dyDescent="0.25">
      <c r="A76" s="10" t="s">
        <v>234</v>
      </c>
      <c r="B76" s="10" t="s">
        <v>234</v>
      </c>
      <c r="C76" s="9" t="s">
        <v>235</v>
      </c>
    </row>
    <row r="77" spans="1:3" x14ac:dyDescent="0.25">
      <c r="A77" s="10" t="s">
        <v>236</v>
      </c>
      <c r="B77" s="10" t="s">
        <v>236</v>
      </c>
      <c r="C77" s="9" t="s">
        <v>237</v>
      </c>
    </row>
    <row r="78" spans="1:3" x14ac:dyDescent="0.25">
      <c r="A78" s="10" t="s">
        <v>238</v>
      </c>
      <c r="B78" s="10" t="s">
        <v>238</v>
      </c>
      <c r="C78" s="9" t="s">
        <v>239</v>
      </c>
    </row>
    <row r="79" spans="1:3" x14ac:dyDescent="0.25">
      <c r="A79" s="10" t="s">
        <v>240</v>
      </c>
      <c r="B79" s="10" t="s">
        <v>240</v>
      </c>
      <c r="C79" s="9" t="s">
        <v>241</v>
      </c>
    </row>
    <row r="80" spans="1:3" x14ac:dyDescent="0.25">
      <c r="A80" s="10" t="s">
        <v>242</v>
      </c>
      <c r="B80" s="10" t="s">
        <v>242</v>
      </c>
      <c r="C80" s="9" t="s">
        <v>243</v>
      </c>
    </row>
    <row r="81" spans="1:3" x14ac:dyDescent="0.25">
      <c r="A81" s="10" t="s">
        <v>244</v>
      </c>
      <c r="B81" s="10" t="s">
        <v>244</v>
      </c>
      <c r="C81" s="9" t="s">
        <v>245</v>
      </c>
    </row>
    <row r="82" spans="1:3" x14ac:dyDescent="0.25">
      <c r="A82" s="10" t="s">
        <v>246</v>
      </c>
      <c r="B82" s="10" t="s">
        <v>246</v>
      </c>
      <c r="C82" s="9" t="s">
        <v>247</v>
      </c>
    </row>
    <row r="83" spans="1:3" x14ac:dyDescent="0.25">
      <c r="A83" s="10" t="s">
        <v>248</v>
      </c>
      <c r="B83" s="10" t="s">
        <v>248</v>
      </c>
      <c r="C83" s="9" t="s">
        <v>249</v>
      </c>
    </row>
    <row r="84" spans="1:3" x14ac:dyDescent="0.25">
      <c r="A84" s="10" t="s">
        <v>250</v>
      </c>
      <c r="B84" s="10" t="s">
        <v>250</v>
      </c>
      <c r="C84" s="9" t="s">
        <v>251</v>
      </c>
    </row>
    <row r="85" spans="1:3" x14ac:dyDescent="0.25">
      <c r="A85" s="10" t="s">
        <v>252</v>
      </c>
      <c r="B85" s="10" t="s">
        <v>252</v>
      </c>
      <c r="C85" s="9" t="s">
        <v>253</v>
      </c>
    </row>
    <row r="86" spans="1:3" x14ac:dyDescent="0.25">
      <c r="A86" s="10" t="s">
        <v>254</v>
      </c>
      <c r="B86" s="10" t="s">
        <v>254</v>
      </c>
      <c r="C86" s="9" t="s">
        <v>255</v>
      </c>
    </row>
    <row r="87" spans="1:3" x14ac:dyDescent="0.25">
      <c r="A87" s="10" t="s">
        <v>256</v>
      </c>
      <c r="B87" s="10" t="s">
        <v>256</v>
      </c>
      <c r="C87" s="9" t="s">
        <v>257</v>
      </c>
    </row>
    <row r="88" spans="1:3" x14ac:dyDescent="0.25">
      <c r="A88" s="10" t="s">
        <v>258</v>
      </c>
      <c r="B88" s="10" t="s">
        <v>258</v>
      </c>
      <c r="C88" s="9" t="s">
        <v>259</v>
      </c>
    </row>
    <row r="89" spans="1:3" x14ac:dyDescent="0.25">
      <c r="A89" s="10" t="s">
        <v>260</v>
      </c>
      <c r="B89" s="10" t="s">
        <v>260</v>
      </c>
      <c r="C89" s="9" t="s">
        <v>261</v>
      </c>
    </row>
    <row r="90" spans="1:3" x14ac:dyDescent="0.25">
      <c r="A90" s="10" t="s">
        <v>262</v>
      </c>
      <c r="B90" s="10" t="s">
        <v>262</v>
      </c>
      <c r="C90" s="9" t="s">
        <v>263</v>
      </c>
    </row>
    <row r="91" spans="1:3" x14ac:dyDescent="0.25">
      <c r="A91" s="10" t="s">
        <v>264</v>
      </c>
      <c r="B91" s="10" t="s">
        <v>264</v>
      </c>
      <c r="C91" s="9" t="s">
        <v>265</v>
      </c>
    </row>
    <row r="92" spans="1:3" x14ac:dyDescent="0.25">
      <c r="A92" s="10" t="s">
        <v>266</v>
      </c>
      <c r="B92" s="10" t="s">
        <v>266</v>
      </c>
      <c r="C92" s="9" t="s">
        <v>267</v>
      </c>
    </row>
    <row r="93" spans="1:3" x14ac:dyDescent="0.25">
      <c r="A93" s="10" t="s">
        <v>268</v>
      </c>
      <c r="B93" s="10" t="s">
        <v>268</v>
      </c>
      <c r="C93" s="9" t="s">
        <v>269</v>
      </c>
    </row>
    <row r="94" spans="1:3" x14ac:dyDescent="0.25">
      <c r="A94" s="10" t="s">
        <v>270</v>
      </c>
      <c r="B94" s="10" t="s">
        <v>270</v>
      </c>
      <c r="C94" s="9" t="s">
        <v>271</v>
      </c>
    </row>
    <row r="95" spans="1:3" x14ac:dyDescent="0.25">
      <c r="A95" s="10" t="s">
        <v>272</v>
      </c>
      <c r="B95" s="10" t="s">
        <v>272</v>
      </c>
      <c r="C95" s="9" t="s">
        <v>273</v>
      </c>
    </row>
    <row r="96" spans="1:3" x14ac:dyDescent="0.25">
      <c r="A96" s="10" t="s">
        <v>274</v>
      </c>
      <c r="B96" s="10" t="s">
        <v>274</v>
      </c>
      <c r="C96" s="9" t="s">
        <v>275</v>
      </c>
    </row>
    <row r="97" spans="1:3" x14ac:dyDescent="0.25">
      <c r="A97" s="10" t="s">
        <v>276</v>
      </c>
      <c r="B97" s="10" t="s">
        <v>276</v>
      </c>
      <c r="C97" s="9" t="s">
        <v>277</v>
      </c>
    </row>
    <row r="98" spans="1:3" x14ac:dyDescent="0.25">
      <c r="A98" s="10" t="s">
        <v>278</v>
      </c>
      <c r="B98" s="10" t="s">
        <v>278</v>
      </c>
      <c r="C98" s="9" t="s">
        <v>279</v>
      </c>
    </row>
    <row r="99" spans="1:3" x14ac:dyDescent="0.25">
      <c r="A99" s="10" t="s">
        <v>280</v>
      </c>
      <c r="B99" s="10" t="s">
        <v>280</v>
      </c>
      <c r="C99" s="9" t="s">
        <v>281</v>
      </c>
    </row>
    <row r="100" spans="1:3" x14ac:dyDescent="0.25">
      <c r="A100" s="10" t="s">
        <v>282</v>
      </c>
      <c r="B100" s="10" t="s">
        <v>282</v>
      </c>
      <c r="C100" s="9" t="s">
        <v>283</v>
      </c>
    </row>
    <row r="101" spans="1:3" x14ac:dyDescent="0.25">
      <c r="A101" s="10" t="s">
        <v>284</v>
      </c>
      <c r="B101" s="10" t="s">
        <v>284</v>
      </c>
      <c r="C101" s="9" t="s">
        <v>285</v>
      </c>
    </row>
    <row r="102" spans="1:3" x14ac:dyDescent="0.25">
      <c r="A102" s="10" t="s">
        <v>286</v>
      </c>
      <c r="B102" s="10" t="s">
        <v>286</v>
      </c>
      <c r="C102" s="9" t="s">
        <v>287</v>
      </c>
    </row>
    <row r="103" spans="1:3" x14ac:dyDescent="0.25">
      <c r="A103" s="10" t="s">
        <v>288</v>
      </c>
      <c r="B103" s="10" t="s">
        <v>288</v>
      </c>
      <c r="C103" s="9" t="s">
        <v>289</v>
      </c>
    </row>
    <row r="104" spans="1:3" x14ac:dyDescent="0.25">
      <c r="A104" s="10" t="s">
        <v>290</v>
      </c>
      <c r="B104" s="10" t="s">
        <v>290</v>
      </c>
      <c r="C104" s="9" t="s">
        <v>291</v>
      </c>
    </row>
    <row r="105" spans="1:3" x14ac:dyDescent="0.25">
      <c r="A105" s="10" t="s">
        <v>292</v>
      </c>
      <c r="B105" s="10" t="s">
        <v>292</v>
      </c>
      <c r="C105" s="9" t="s">
        <v>293</v>
      </c>
    </row>
    <row r="106" spans="1:3" x14ac:dyDescent="0.25">
      <c r="A106" s="10" t="s">
        <v>294</v>
      </c>
      <c r="B106" s="10" t="s">
        <v>294</v>
      </c>
      <c r="C106" s="9" t="s">
        <v>295</v>
      </c>
    </row>
    <row r="107" spans="1:3" x14ac:dyDescent="0.25">
      <c r="A107" s="10" t="s">
        <v>296</v>
      </c>
      <c r="B107" s="10" t="s">
        <v>296</v>
      </c>
      <c r="C107" s="9" t="s">
        <v>297</v>
      </c>
    </row>
    <row r="108" spans="1:3" x14ac:dyDescent="0.25">
      <c r="A108" s="10" t="s">
        <v>298</v>
      </c>
      <c r="B108" s="10" t="s">
        <v>298</v>
      </c>
      <c r="C108" s="9" t="s">
        <v>299</v>
      </c>
    </row>
    <row r="109" spans="1:3" x14ac:dyDescent="0.25">
      <c r="A109" s="10" t="s">
        <v>300</v>
      </c>
      <c r="B109" s="10" t="s">
        <v>300</v>
      </c>
      <c r="C109" s="9" t="s">
        <v>301</v>
      </c>
    </row>
    <row r="110" spans="1:3" x14ac:dyDescent="0.25">
      <c r="A110" s="10" t="s">
        <v>302</v>
      </c>
      <c r="B110" s="10" t="s">
        <v>302</v>
      </c>
      <c r="C110" s="9" t="s">
        <v>303</v>
      </c>
    </row>
    <row r="111" spans="1:3" x14ac:dyDescent="0.25">
      <c r="A111" s="10" t="s">
        <v>304</v>
      </c>
      <c r="B111" s="10" t="s">
        <v>304</v>
      </c>
      <c r="C111" s="9" t="s">
        <v>305</v>
      </c>
    </row>
    <row r="112" spans="1:3" x14ac:dyDescent="0.25">
      <c r="A112" s="10" t="s">
        <v>306</v>
      </c>
      <c r="B112" s="10" t="s">
        <v>306</v>
      </c>
      <c r="C112" s="9" t="s">
        <v>307</v>
      </c>
    </row>
    <row r="113" spans="1:3" x14ac:dyDescent="0.25">
      <c r="A113" s="10" t="s">
        <v>308</v>
      </c>
      <c r="B113" s="10" t="s">
        <v>308</v>
      </c>
      <c r="C113" s="9" t="s">
        <v>309</v>
      </c>
    </row>
    <row r="114" spans="1:3" x14ac:dyDescent="0.25">
      <c r="A114" s="10" t="s">
        <v>310</v>
      </c>
      <c r="B114" s="10" t="s">
        <v>310</v>
      </c>
      <c r="C114" s="9" t="s">
        <v>311</v>
      </c>
    </row>
    <row r="115" spans="1:3" x14ac:dyDescent="0.25">
      <c r="A115" s="10" t="s">
        <v>312</v>
      </c>
      <c r="B115" s="10" t="s">
        <v>312</v>
      </c>
      <c r="C115" s="9" t="s">
        <v>313</v>
      </c>
    </row>
    <row r="116" spans="1:3" x14ac:dyDescent="0.25">
      <c r="A116" s="10" t="s">
        <v>314</v>
      </c>
      <c r="B116" s="10" t="s">
        <v>314</v>
      </c>
      <c r="C116" s="9" t="s">
        <v>315</v>
      </c>
    </row>
    <row r="117" spans="1:3" x14ac:dyDescent="0.25">
      <c r="A117" s="10" t="s">
        <v>316</v>
      </c>
      <c r="B117" s="10" t="s">
        <v>316</v>
      </c>
      <c r="C117" s="9" t="s">
        <v>317</v>
      </c>
    </row>
    <row r="118" spans="1:3" x14ac:dyDescent="0.25">
      <c r="A118" s="10" t="s">
        <v>318</v>
      </c>
      <c r="B118" s="10" t="s">
        <v>318</v>
      </c>
      <c r="C118" s="9" t="s">
        <v>319</v>
      </c>
    </row>
    <row r="119" spans="1:3" x14ac:dyDescent="0.25">
      <c r="A119" s="10" t="s">
        <v>320</v>
      </c>
      <c r="B119" s="10" t="s">
        <v>320</v>
      </c>
      <c r="C119" s="9" t="s">
        <v>321</v>
      </c>
    </row>
    <row r="120" spans="1:3" x14ac:dyDescent="0.25">
      <c r="A120" s="10" t="s">
        <v>322</v>
      </c>
      <c r="B120" s="10" t="s">
        <v>322</v>
      </c>
      <c r="C120" s="9" t="s">
        <v>323</v>
      </c>
    </row>
    <row r="121" spans="1:3" x14ac:dyDescent="0.25">
      <c r="A121" s="10" t="s">
        <v>324</v>
      </c>
      <c r="B121" s="10" t="s">
        <v>324</v>
      </c>
      <c r="C121" s="9" t="s">
        <v>325</v>
      </c>
    </row>
    <row r="122" spans="1:3" x14ac:dyDescent="0.25">
      <c r="A122" s="10" t="s">
        <v>326</v>
      </c>
      <c r="B122" s="10" t="s">
        <v>326</v>
      </c>
      <c r="C122" s="9" t="s">
        <v>327</v>
      </c>
    </row>
    <row r="123" spans="1:3" x14ac:dyDescent="0.25">
      <c r="A123" s="10" t="s">
        <v>328</v>
      </c>
      <c r="B123" s="10" t="s">
        <v>328</v>
      </c>
      <c r="C123" s="9" t="s">
        <v>329</v>
      </c>
    </row>
    <row r="124" spans="1:3" x14ac:dyDescent="0.25">
      <c r="A124" s="10" t="s">
        <v>330</v>
      </c>
      <c r="B124" s="10" t="s">
        <v>330</v>
      </c>
      <c r="C124" s="9" t="s">
        <v>331</v>
      </c>
    </row>
    <row r="125" spans="1:3" x14ac:dyDescent="0.25">
      <c r="A125" s="10" t="s">
        <v>332</v>
      </c>
      <c r="B125" s="10" t="s">
        <v>332</v>
      </c>
      <c r="C125" s="9" t="s">
        <v>333</v>
      </c>
    </row>
    <row r="126" spans="1:3" x14ac:dyDescent="0.25">
      <c r="A126" s="10" t="s">
        <v>334</v>
      </c>
      <c r="B126" s="10" t="s">
        <v>334</v>
      </c>
      <c r="C126" s="9" t="s">
        <v>335</v>
      </c>
    </row>
    <row r="127" spans="1:3" x14ac:dyDescent="0.25">
      <c r="A127" s="10" t="s">
        <v>336</v>
      </c>
      <c r="B127" s="10" t="s">
        <v>336</v>
      </c>
      <c r="C127" s="9" t="s">
        <v>337</v>
      </c>
    </row>
    <row r="128" spans="1:3" x14ac:dyDescent="0.25">
      <c r="A128" s="10" t="s">
        <v>338</v>
      </c>
      <c r="B128" s="10" t="s">
        <v>338</v>
      </c>
      <c r="C128" s="9" t="s">
        <v>339</v>
      </c>
    </row>
    <row r="129" spans="1:3" x14ac:dyDescent="0.25">
      <c r="A129" s="10" t="s">
        <v>340</v>
      </c>
      <c r="B129" s="10" t="s">
        <v>340</v>
      </c>
      <c r="C129" s="9" t="s">
        <v>341</v>
      </c>
    </row>
    <row r="130" spans="1:3" x14ac:dyDescent="0.25">
      <c r="A130" s="10" t="s">
        <v>342</v>
      </c>
      <c r="B130" s="10" t="s">
        <v>342</v>
      </c>
      <c r="C130" s="9" t="s">
        <v>343</v>
      </c>
    </row>
    <row r="131" spans="1:3" x14ac:dyDescent="0.25">
      <c r="A131" s="10" t="s">
        <v>344</v>
      </c>
      <c r="B131" s="10" t="s">
        <v>344</v>
      </c>
      <c r="C131" s="9" t="s">
        <v>345</v>
      </c>
    </row>
    <row r="132" spans="1:3" x14ac:dyDescent="0.25">
      <c r="A132" s="10" t="s">
        <v>346</v>
      </c>
      <c r="B132" s="10" t="s">
        <v>346</v>
      </c>
      <c r="C132" s="9" t="s">
        <v>347</v>
      </c>
    </row>
    <row r="133" spans="1:3" x14ac:dyDescent="0.25">
      <c r="A133" s="10" t="s">
        <v>348</v>
      </c>
      <c r="B133" s="10" t="s">
        <v>348</v>
      </c>
      <c r="C133" s="9" t="s">
        <v>349</v>
      </c>
    </row>
    <row r="134" spans="1:3" x14ac:dyDescent="0.25">
      <c r="A134" s="10" t="s">
        <v>350</v>
      </c>
      <c r="B134" s="10" t="s">
        <v>350</v>
      </c>
      <c r="C134" s="9" t="s">
        <v>351</v>
      </c>
    </row>
    <row r="135" spans="1:3" x14ac:dyDescent="0.25">
      <c r="A135" s="10" t="s">
        <v>352</v>
      </c>
      <c r="B135" s="10" t="s">
        <v>352</v>
      </c>
      <c r="C135" s="9" t="s">
        <v>353</v>
      </c>
    </row>
    <row r="136" spans="1:3" x14ac:dyDescent="0.25">
      <c r="A136" s="10" t="s">
        <v>354</v>
      </c>
      <c r="B136" s="10" t="s">
        <v>354</v>
      </c>
      <c r="C136" s="9" t="s">
        <v>355</v>
      </c>
    </row>
    <row r="137" spans="1:3" x14ac:dyDescent="0.25">
      <c r="A137" s="10" t="s">
        <v>356</v>
      </c>
      <c r="B137" s="10" t="s">
        <v>356</v>
      </c>
      <c r="C137" s="9" t="s">
        <v>357</v>
      </c>
    </row>
    <row r="138" spans="1:3" x14ac:dyDescent="0.25">
      <c r="A138" s="10" t="s">
        <v>358</v>
      </c>
      <c r="B138" s="10" t="s">
        <v>358</v>
      </c>
      <c r="C138" s="9" t="s">
        <v>359</v>
      </c>
    </row>
    <row r="139" spans="1:3" x14ac:dyDescent="0.25">
      <c r="A139" s="10" t="s">
        <v>360</v>
      </c>
      <c r="B139" s="10" t="s">
        <v>360</v>
      </c>
      <c r="C139" s="9" t="s">
        <v>361</v>
      </c>
    </row>
    <row r="140" spans="1:3" x14ac:dyDescent="0.25">
      <c r="A140" s="10" t="s">
        <v>362</v>
      </c>
      <c r="B140" s="10" t="s">
        <v>362</v>
      </c>
      <c r="C140" s="9" t="s">
        <v>363</v>
      </c>
    </row>
    <row r="141" spans="1:3" x14ac:dyDescent="0.25">
      <c r="A141" s="10" t="s">
        <v>364</v>
      </c>
      <c r="B141" s="10" t="s">
        <v>364</v>
      </c>
      <c r="C141" s="9" t="s">
        <v>365</v>
      </c>
    </row>
    <row r="142" spans="1:3" x14ac:dyDescent="0.25">
      <c r="A142" s="10" t="s">
        <v>366</v>
      </c>
      <c r="B142" s="10" t="s">
        <v>366</v>
      </c>
      <c r="C142" s="9" t="s">
        <v>367</v>
      </c>
    </row>
    <row r="143" spans="1:3" x14ac:dyDescent="0.25">
      <c r="A143" s="10" t="s">
        <v>368</v>
      </c>
      <c r="B143" s="10" t="s">
        <v>368</v>
      </c>
      <c r="C143" s="9" t="s">
        <v>369</v>
      </c>
    </row>
    <row r="144" spans="1:3" x14ac:dyDescent="0.25">
      <c r="A144" s="10" t="s">
        <v>370</v>
      </c>
      <c r="B144" s="10" t="s">
        <v>370</v>
      </c>
      <c r="C144" s="9" t="s">
        <v>371</v>
      </c>
    </row>
    <row r="145" spans="1:3" x14ac:dyDescent="0.25">
      <c r="A145" s="10" t="s">
        <v>372</v>
      </c>
      <c r="B145" s="10" t="s">
        <v>372</v>
      </c>
      <c r="C145" s="9" t="s">
        <v>373</v>
      </c>
    </row>
    <row r="146" spans="1:3" x14ac:dyDescent="0.25">
      <c r="A146" s="10" t="s">
        <v>374</v>
      </c>
      <c r="B146" s="10" t="s">
        <v>374</v>
      </c>
      <c r="C146" s="9" t="s">
        <v>375</v>
      </c>
    </row>
    <row r="147" spans="1:3" x14ac:dyDescent="0.25">
      <c r="A147" s="10" t="s">
        <v>376</v>
      </c>
      <c r="B147" s="10" t="s">
        <v>376</v>
      </c>
      <c r="C147" s="9" t="s">
        <v>377</v>
      </c>
    </row>
    <row r="148" spans="1:3" x14ac:dyDescent="0.25">
      <c r="A148" s="10" t="s">
        <v>378</v>
      </c>
      <c r="B148" s="10" t="s">
        <v>378</v>
      </c>
      <c r="C148" s="9" t="s">
        <v>379</v>
      </c>
    </row>
    <row r="149" spans="1:3" x14ac:dyDescent="0.25">
      <c r="A149" s="10" t="s">
        <v>380</v>
      </c>
      <c r="B149" s="10" t="s">
        <v>380</v>
      </c>
      <c r="C149" s="9" t="s">
        <v>381</v>
      </c>
    </row>
    <row r="150" spans="1:3" x14ac:dyDescent="0.25">
      <c r="A150" s="10" t="s">
        <v>382</v>
      </c>
      <c r="B150" s="10" t="s">
        <v>382</v>
      </c>
      <c r="C150" s="9" t="s">
        <v>383</v>
      </c>
    </row>
    <row r="151" spans="1:3" x14ac:dyDescent="0.25">
      <c r="A151" s="10" t="s">
        <v>384</v>
      </c>
      <c r="B151" s="10" t="s">
        <v>384</v>
      </c>
      <c r="C151" s="9" t="s">
        <v>385</v>
      </c>
    </row>
    <row r="152" spans="1:3" x14ac:dyDescent="0.25">
      <c r="A152" s="10" t="s">
        <v>386</v>
      </c>
      <c r="B152" s="10" t="s">
        <v>386</v>
      </c>
      <c r="C152" s="9" t="s">
        <v>387</v>
      </c>
    </row>
    <row r="153" spans="1:3" x14ac:dyDescent="0.25">
      <c r="A153" s="10" t="s">
        <v>388</v>
      </c>
      <c r="B153" s="10" t="s">
        <v>388</v>
      </c>
      <c r="C153" s="9" t="s">
        <v>389</v>
      </c>
    </row>
    <row r="154" spans="1:3" x14ac:dyDescent="0.25">
      <c r="A154" s="10" t="s">
        <v>390</v>
      </c>
      <c r="B154" s="10" t="s">
        <v>390</v>
      </c>
      <c r="C154" s="9" t="s">
        <v>391</v>
      </c>
    </row>
    <row r="155" spans="1:3" x14ac:dyDescent="0.25">
      <c r="A155" s="10" t="s">
        <v>392</v>
      </c>
      <c r="B155" s="10" t="s">
        <v>392</v>
      </c>
      <c r="C155" s="9" t="s">
        <v>393</v>
      </c>
    </row>
    <row r="156" spans="1:3" x14ac:dyDescent="0.25">
      <c r="A156" s="10" t="s">
        <v>394</v>
      </c>
      <c r="B156" s="10" t="s">
        <v>394</v>
      </c>
      <c r="C156" s="9" t="s">
        <v>395</v>
      </c>
    </row>
    <row r="157" spans="1:3" x14ac:dyDescent="0.25">
      <c r="A157" s="10" t="s">
        <v>396</v>
      </c>
      <c r="B157" s="10" t="s">
        <v>396</v>
      </c>
      <c r="C157" s="9" t="s">
        <v>397</v>
      </c>
    </row>
    <row r="158" spans="1:3" x14ac:dyDescent="0.25">
      <c r="A158" s="10" t="s">
        <v>398</v>
      </c>
      <c r="B158" s="10" t="s">
        <v>398</v>
      </c>
      <c r="C158" s="9" t="s">
        <v>399</v>
      </c>
    </row>
    <row r="159" spans="1:3" x14ac:dyDescent="0.25">
      <c r="A159" s="10" t="s">
        <v>400</v>
      </c>
      <c r="B159" s="10" t="s">
        <v>400</v>
      </c>
      <c r="C159" s="9" t="s">
        <v>401</v>
      </c>
    </row>
    <row r="160" spans="1:3" x14ac:dyDescent="0.25">
      <c r="A160" s="10" t="s">
        <v>402</v>
      </c>
      <c r="B160" s="10" t="s">
        <v>402</v>
      </c>
      <c r="C160" s="9" t="s">
        <v>403</v>
      </c>
    </row>
    <row r="161" spans="1:3" x14ac:dyDescent="0.25">
      <c r="A161" s="10" t="s">
        <v>404</v>
      </c>
      <c r="B161" s="10" t="s">
        <v>404</v>
      </c>
      <c r="C161" s="9" t="s">
        <v>405</v>
      </c>
    </row>
    <row r="162" spans="1:3" x14ac:dyDescent="0.25">
      <c r="A162" s="10" t="s">
        <v>406</v>
      </c>
      <c r="B162" s="10" t="s">
        <v>406</v>
      </c>
      <c r="C162" s="9" t="s">
        <v>407</v>
      </c>
    </row>
    <row r="163" spans="1:3" x14ac:dyDescent="0.25">
      <c r="A163" s="10" t="s">
        <v>408</v>
      </c>
      <c r="B163" s="10" t="s">
        <v>408</v>
      </c>
      <c r="C163" s="9" t="s">
        <v>409</v>
      </c>
    </row>
    <row r="164" spans="1:3" x14ac:dyDescent="0.25">
      <c r="A164" s="10" t="s">
        <v>410</v>
      </c>
      <c r="B164" s="10" t="s">
        <v>410</v>
      </c>
      <c r="C164" s="9" t="s">
        <v>411</v>
      </c>
    </row>
    <row r="165" spans="1:3" x14ac:dyDescent="0.25">
      <c r="A165" s="10" t="s">
        <v>412</v>
      </c>
      <c r="B165" s="10" t="s">
        <v>412</v>
      </c>
      <c r="C165" s="9" t="s">
        <v>413</v>
      </c>
    </row>
    <row r="166" spans="1:3" x14ac:dyDescent="0.25">
      <c r="A166" s="10" t="s">
        <v>414</v>
      </c>
      <c r="B166" s="10" t="s">
        <v>414</v>
      </c>
      <c r="C166" s="9" t="s">
        <v>415</v>
      </c>
    </row>
    <row r="167" spans="1:3" x14ac:dyDescent="0.25">
      <c r="A167" s="10" t="s">
        <v>416</v>
      </c>
      <c r="B167" s="10" t="s">
        <v>416</v>
      </c>
      <c r="C167" s="9" t="s">
        <v>417</v>
      </c>
    </row>
    <row r="168" spans="1:3" x14ac:dyDescent="0.25">
      <c r="A168" s="10" t="s">
        <v>418</v>
      </c>
      <c r="B168" s="10" t="s">
        <v>418</v>
      </c>
      <c r="C168" s="9" t="s">
        <v>419</v>
      </c>
    </row>
    <row r="169" spans="1:3" x14ac:dyDescent="0.25">
      <c r="A169" s="10" t="s">
        <v>420</v>
      </c>
      <c r="B169" s="10" t="s">
        <v>420</v>
      </c>
      <c r="C169" s="9" t="s">
        <v>421</v>
      </c>
    </row>
    <row r="170" spans="1:3" x14ac:dyDescent="0.25">
      <c r="A170" s="10" t="s">
        <v>422</v>
      </c>
      <c r="B170" s="10" t="s">
        <v>422</v>
      </c>
      <c r="C170" s="9" t="s">
        <v>423</v>
      </c>
    </row>
    <row r="171" spans="1:3" x14ac:dyDescent="0.25">
      <c r="A171" s="10" t="s">
        <v>424</v>
      </c>
      <c r="B171" s="10" t="s">
        <v>424</v>
      </c>
      <c r="C171" s="9" t="s">
        <v>425</v>
      </c>
    </row>
    <row r="172" spans="1:3" x14ac:dyDescent="0.25">
      <c r="A172" s="10" t="s">
        <v>426</v>
      </c>
      <c r="B172" s="10" t="s">
        <v>426</v>
      </c>
      <c r="C172" s="9" t="s">
        <v>427</v>
      </c>
    </row>
    <row r="173" spans="1:3" x14ac:dyDescent="0.25">
      <c r="A173" s="10" t="s">
        <v>428</v>
      </c>
      <c r="B173" s="10" t="s">
        <v>428</v>
      </c>
      <c r="C173" s="9" t="s">
        <v>429</v>
      </c>
    </row>
    <row r="174" spans="1:3" x14ac:dyDescent="0.25">
      <c r="A174" s="10" t="s">
        <v>430</v>
      </c>
      <c r="B174" s="10" t="s">
        <v>430</v>
      </c>
      <c r="C174" s="9" t="s">
        <v>431</v>
      </c>
    </row>
    <row r="175" spans="1:3" x14ac:dyDescent="0.25">
      <c r="A175" s="10" t="s">
        <v>432</v>
      </c>
      <c r="B175" s="10" t="s">
        <v>432</v>
      </c>
      <c r="C175" s="9" t="s">
        <v>433</v>
      </c>
    </row>
    <row r="176" spans="1:3" x14ac:dyDescent="0.25">
      <c r="A176" s="10" t="s">
        <v>434</v>
      </c>
      <c r="B176" s="10" t="s">
        <v>434</v>
      </c>
      <c r="C176" s="9" t="s">
        <v>435</v>
      </c>
    </row>
    <row r="177" spans="1:3" x14ac:dyDescent="0.25">
      <c r="A177" s="10" t="s">
        <v>436</v>
      </c>
      <c r="B177" s="10" t="s">
        <v>436</v>
      </c>
      <c r="C177" s="9" t="s">
        <v>437</v>
      </c>
    </row>
    <row r="178" spans="1:3" x14ac:dyDescent="0.25">
      <c r="A178" s="10" t="s">
        <v>438</v>
      </c>
      <c r="B178" s="10" t="s">
        <v>438</v>
      </c>
      <c r="C178" s="9" t="s">
        <v>439</v>
      </c>
    </row>
    <row r="179" spans="1:3" x14ac:dyDescent="0.25">
      <c r="A179" s="10" t="s">
        <v>440</v>
      </c>
      <c r="B179" s="10" t="s">
        <v>440</v>
      </c>
      <c r="C179" s="9" t="s">
        <v>441</v>
      </c>
    </row>
    <row r="180" spans="1:3" x14ac:dyDescent="0.25">
      <c r="A180" s="10" t="s">
        <v>442</v>
      </c>
      <c r="B180" s="10" t="s">
        <v>442</v>
      </c>
      <c r="C180" s="9" t="s">
        <v>443</v>
      </c>
    </row>
    <row r="181" spans="1:3" x14ac:dyDescent="0.25">
      <c r="A181" s="10" t="s">
        <v>444</v>
      </c>
      <c r="B181" s="10" t="s">
        <v>444</v>
      </c>
      <c r="C181" s="9" t="s">
        <v>445</v>
      </c>
    </row>
    <row r="182" spans="1:3" x14ac:dyDescent="0.25">
      <c r="A182" s="10" t="s">
        <v>446</v>
      </c>
      <c r="B182" s="10" t="s">
        <v>446</v>
      </c>
      <c r="C182" s="9" t="s">
        <v>447</v>
      </c>
    </row>
    <row r="183" spans="1:3" x14ac:dyDescent="0.25">
      <c r="A183" s="10" t="s">
        <v>448</v>
      </c>
      <c r="B183" s="10" t="s">
        <v>448</v>
      </c>
      <c r="C183" s="9" t="s">
        <v>449</v>
      </c>
    </row>
    <row r="184" spans="1:3" x14ac:dyDescent="0.25">
      <c r="A184" s="10" t="s">
        <v>450</v>
      </c>
      <c r="B184" s="10" t="s">
        <v>450</v>
      </c>
      <c r="C184" s="9" t="s">
        <v>451</v>
      </c>
    </row>
    <row r="185" spans="1:3" x14ac:dyDescent="0.25">
      <c r="A185" s="10" t="s">
        <v>452</v>
      </c>
      <c r="B185" s="10" t="s">
        <v>452</v>
      </c>
      <c r="C185" s="9" t="s">
        <v>453</v>
      </c>
    </row>
    <row r="186" spans="1:3" x14ac:dyDescent="0.25">
      <c r="A186" s="10" t="s">
        <v>454</v>
      </c>
      <c r="B186" s="10" t="s">
        <v>454</v>
      </c>
      <c r="C186" s="9" t="s">
        <v>455</v>
      </c>
    </row>
    <row r="187" spans="1:3" x14ac:dyDescent="0.25">
      <c r="A187" s="10" t="s">
        <v>456</v>
      </c>
      <c r="B187" s="10" t="s">
        <v>456</v>
      </c>
      <c r="C187" s="9" t="s">
        <v>457</v>
      </c>
    </row>
    <row r="188" spans="1:3" x14ac:dyDescent="0.25">
      <c r="A188" s="10" t="s">
        <v>458</v>
      </c>
      <c r="B188" s="10" t="s">
        <v>458</v>
      </c>
      <c r="C188" s="9" t="s">
        <v>459</v>
      </c>
    </row>
    <row r="189" spans="1:3" x14ac:dyDescent="0.25">
      <c r="A189" s="10" t="s">
        <v>460</v>
      </c>
      <c r="B189" s="10" t="s">
        <v>460</v>
      </c>
      <c r="C189" s="9" t="s">
        <v>461</v>
      </c>
    </row>
    <row r="190" spans="1:3" x14ac:dyDescent="0.25">
      <c r="A190" s="10" t="s">
        <v>462</v>
      </c>
      <c r="B190" s="10" t="s">
        <v>462</v>
      </c>
      <c r="C190" s="9" t="s">
        <v>463</v>
      </c>
    </row>
    <row r="191" spans="1:3" x14ac:dyDescent="0.25">
      <c r="A191" s="10" t="s">
        <v>464</v>
      </c>
      <c r="B191" s="10" t="s">
        <v>464</v>
      </c>
      <c r="C191" s="9" t="s">
        <v>465</v>
      </c>
    </row>
    <row r="192" spans="1:3" x14ac:dyDescent="0.25">
      <c r="A192" s="10" t="s">
        <v>466</v>
      </c>
      <c r="B192" s="10" t="s">
        <v>466</v>
      </c>
      <c r="C192" s="9" t="s">
        <v>467</v>
      </c>
    </row>
    <row r="193" spans="1:3" x14ac:dyDescent="0.25">
      <c r="A193" s="10" t="s">
        <v>468</v>
      </c>
      <c r="B193" s="10" t="s">
        <v>468</v>
      </c>
      <c r="C193" s="9" t="s">
        <v>469</v>
      </c>
    </row>
    <row r="194" spans="1:3" x14ac:dyDescent="0.25">
      <c r="A194" s="10" t="s">
        <v>470</v>
      </c>
      <c r="B194" s="10" t="s">
        <v>470</v>
      </c>
      <c r="C194" s="9" t="s">
        <v>471</v>
      </c>
    </row>
    <row r="195" spans="1:3" x14ac:dyDescent="0.25">
      <c r="A195" s="10" t="s">
        <v>472</v>
      </c>
      <c r="B195" s="10" t="s">
        <v>472</v>
      </c>
      <c r="C195" s="9" t="s">
        <v>473</v>
      </c>
    </row>
    <row r="196" spans="1:3" x14ac:dyDescent="0.25">
      <c r="A196" s="10" t="s">
        <v>474</v>
      </c>
      <c r="B196" s="10" t="s">
        <v>474</v>
      </c>
      <c r="C196" s="9" t="s">
        <v>475</v>
      </c>
    </row>
    <row r="197" spans="1:3" x14ac:dyDescent="0.25">
      <c r="A197" s="10" t="s">
        <v>476</v>
      </c>
      <c r="B197" s="10" t="s">
        <v>476</v>
      </c>
      <c r="C197" s="9" t="s">
        <v>477</v>
      </c>
    </row>
    <row r="198" spans="1:3" x14ac:dyDescent="0.25">
      <c r="A198" s="10" t="s">
        <v>478</v>
      </c>
      <c r="B198" s="10" t="s">
        <v>478</v>
      </c>
      <c r="C198" s="9" t="s">
        <v>479</v>
      </c>
    </row>
    <row r="199" spans="1:3" x14ac:dyDescent="0.25">
      <c r="A199" s="10" t="s">
        <v>480</v>
      </c>
      <c r="B199" s="10" t="s">
        <v>480</v>
      </c>
      <c r="C199" s="9" t="s">
        <v>481</v>
      </c>
    </row>
    <row r="200" spans="1:3" x14ac:dyDescent="0.25">
      <c r="A200" s="10" t="s">
        <v>482</v>
      </c>
      <c r="B200" s="10" t="s">
        <v>482</v>
      </c>
      <c r="C200" s="9" t="s">
        <v>483</v>
      </c>
    </row>
    <row r="201" spans="1:3" x14ac:dyDescent="0.25">
      <c r="A201" s="10" t="s">
        <v>484</v>
      </c>
      <c r="B201" s="10" t="s">
        <v>484</v>
      </c>
      <c r="C201" s="9" t="s">
        <v>485</v>
      </c>
    </row>
    <row r="202" spans="1:3" x14ac:dyDescent="0.25">
      <c r="A202" s="10" t="s">
        <v>486</v>
      </c>
      <c r="B202" s="10" t="s">
        <v>486</v>
      </c>
      <c r="C202" s="9" t="s">
        <v>487</v>
      </c>
    </row>
    <row r="203" spans="1:3" x14ac:dyDescent="0.25">
      <c r="A203" s="10" t="s">
        <v>488</v>
      </c>
      <c r="B203" s="10" t="s">
        <v>488</v>
      </c>
      <c r="C203" s="9" t="s">
        <v>489</v>
      </c>
    </row>
    <row r="204" spans="1:3" x14ac:dyDescent="0.25">
      <c r="A204" s="10" t="s">
        <v>490</v>
      </c>
      <c r="B204" s="10" t="s">
        <v>490</v>
      </c>
      <c r="C204" s="9" t="s">
        <v>491</v>
      </c>
    </row>
    <row r="205" spans="1:3" x14ac:dyDescent="0.25">
      <c r="A205" s="10" t="s">
        <v>492</v>
      </c>
      <c r="B205" s="10" t="s">
        <v>492</v>
      </c>
      <c r="C205" s="9" t="s">
        <v>493</v>
      </c>
    </row>
    <row r="206" spans="1:3" x14ac:dyDescent="0.25">
      <c r="A206" s="10" t="s">
        <v>494</v>
      </c>
      <c r="B206" s="10" t="s">
        <v>494</v>
      </c>
      <c r="C206" s="9" t="s">
        <v>495</v>
      </c>
    </row>
    <row r="207" spans="1:3" x14ac:dyDescent="0.25">
      <c r="A207" s="10" t="s">
        <v>496</v>
      </c>
      <c r="B207" s="10" t="s">
        <v>496</v>
      </c>
      <c r="C207" s="9" t="s">
        <v>497</v>
      </c>
    </row>
    <row r="208" spans="1:3" x14ac:dyDescent="0.25">
      <c r="A208" s="10" t="s">
        <v>498</v>
      </c>
      <c r="B208" s="10" t="s">
        <v>498</v>
      </c>
      <c r="C208" s="9" t="s">
        <v>499</v>
      </c>
    </row>
    <row r="209" spans="1:3" x14ac:dyDescent="0.25">
      <c r="A209" s="10" t="s">
        <v>500</v>
      </c>
      <c r="B209" s="10" t="s">
        <v>500</v>
      </c>
      <c r="C209" s="9" t="s">
        <v>501</v>
      </c>
    </row>
    <row r="210" spans="1:3" x14ac:dyDescent="0.25">
      <c r="A210" s="10" t="s">
        <v>502</v>
      </c>
      <c r="B210" s="10" t="s">
        <v>502</v>
      </c>
      <c r="C210" s="9" t="s">
        <v>503</v>
      </c>
    </row>
    <row r="211" spans="1:3" x14ac:dyDescent="0.25">
      <c r="A211" s="10" t="s">
        <v>504</v>
      </c>
      <c r="B211" s="10" t="s">
        <v>504</v>
      </c>
      <c r="C211" s="9" t="s">
        <v>505</v>
      </c>
    </row>
    <row r="212" spans="1:3" x14ac:dyDescent="0.25">
      <c r="A212" s="10" t="s">
        <v>506</v>
      </c>
      <c r="B212" s="10" t="s">
        <v>506</v>
      </c>
      <c r="C212" s="9" t="s">
        <v>507</v>
      </c>
    </row>
    <row r="213" spans="1:3" x14ac:dyDescent="0.25">
      <c r="A213" s="10" t="s">
        <v>508</v>
      </c>
      <c r="B213" s="10" t="s">
        <v>508</v>
      </c>
      <c r="C213" s="9" t="s">
        <v>509</v>
      </c>
    </row>
    <row r="214" spans="1:3" x14ac:dyDescent="0.25">
      <c r="A214" s="10" t="s">
        <v>510</v>
      </c>
      <c r="B214" s="10" t="s">
        <v>510</v>
      </c>
      <c r="C214" s="9" t="s">
        <v>511</v>
      </c>
    </row>
    <row r="215" spans="1:3" x14ac:dyDescent="0.25">
      <c r="A215" s="10" t="s">
        <v>512</v>
      </c>
      <c r="B215" s="10" t="s">
        <v>512</v>
      </c>
      <c r="C215" s="9" t="s">
        <v>513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0"/>
  <dimension ref="A1:B4"/>
  <sheetViews>
    <sheetView topLeftCell="B1" workbookViewId="0">
      <selection activeCell="C3" sqref="C3"/>
    </sheetView>
  </sheetViews>
  <sheetFormatPr defaultRowHeight="15" x14ac:dyDescent="0.25"/>
  <cols>
    <col min="1" max="1" width="8.875" hidden="1" customWidth="1"/>
    <col min="2" max="2" width="46.125" style="10" customWidth="1"/>
  </cols>
  <sheetData>
    <row r="1" spans="1:2" ht="47.85" customHeight="1" x14ac:dyDescent="0.25">
      <c r="A1" s="25" t="s">
        <v>28</v>
      </c>
      <c r="B1" s="25"/>
    </row>
    <row r="2" spans="1:2" x14ac:dyDescent="0.25">
      <c r="A2" s="6"/>
      <c r="B2" s="4" t="s">
        <v>50</v>
      </c>
    </row>
    <row r="3" spans="1:2" x14ac:dyDescent="0.25">
      <c r="B3" s="10" t="s">
        <v>87</v>
      </c>
    </row>
    <row r="4" spans="1:2" x14ac:dyDescent="0.25">
      <c r="A4">
        <v>96281170920</v>
      </c>
      <c r="B4" s="10" t="s">
        <v>514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1"/>
  <dimension ref="A1:O3"/>
  <sheetViews>
    <sheetView topLeftCell="B1" workbookViewId="0">
      <selection sqref="A1:O1"/>
    </sheetView>
  </sheetViews>
  <sheetFormatPr defaultRowHeight="15" x14ac:dyDescent="0.25"/>
  <cols>
    <col min="1" max="1" width="1.125" style="7" hidden="1" customWidth="1"/>
    <col min="2" max="2" width="15" style="7" bestFit="1" customWidth="1"/>
    <col min="3" max="3" width="21" style="7" bestFit="1" customWidth="1"/>
    <col min="4" max="4" width="12.875" style="7" customWidth="1"/>
    <col min="5" max="5" width="11.875" style="7" bestFit="1" customWidth="1"/>
    <col min="6" max="6" width="9.875" style="7" customWidth="1"/>
    <col min="7" max="7" width="8.25" style="7" customWidth="1"/>
    <col min="8" max="8" width="10.75" style="7" customWidth="1"/>
    <col min="9" max="9" width="10" style="7" customWidth="1"/>
    <col min="10" max="10" width="8.5" style="7" customWidth="1"/>
    <col min="11" max="11" width="9.75" style="7" customWidth="1"/>
    <col min="12" max="12" width="8" style="7" customWidth="1"/>
    <col min="13" max="13" width="8.25" style="7" customWidth="1"/>
    <col min="14" max="14" width="8.875" style="7" bestFit="1" customWidth="1"/>
    <col min="15" max="15" width="9.5" style="7" customWidth="1"/>
    <col min="16" max="16384" width="9" style="1"/>
  </cols>
  <sheetData>
    <row r="1" spans="1:15" ht="47.85" customHeight="1" x14ac:dyDescent="0.25">
      <c r="A1" s="26" t="s">
        <v>53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5" ht="120" x14ac:dyDescent="0.25">
      <c r="A2" s="4"/>
      <c r="B2" s="4" t="s">
        <v>0</v>
      </c>
      <c r="C2" s="4" t="s">
        <v>10</v>
      </c>
      <c r="D2" s="4" t="s">
        <v>11</v>
      </c>
      <c r="E2" s="4" t="s">
        <v>12</v>
      </c>
      <c r="F2" s="4" t="s">
        <v>6</v>
      </c>
      <c r="G2" s="4" t="s">
        <v>13</v>
      </c>
      <c r="H2" s="4" t="s">
        <v>14</v>
      </c>
      <c r="I2" s="4" t="s">
        <v>4</v>
      </c>
      <c r="J2" s="4" t="s">
        <v>5</v>
      </c>
      <c r="K2" s="4" t="s">
        <v>15</v>
      </c>
      <c r="L2" s="4" t="s">
        <v>7</v>
      </c>
      <c r="M2" s="4" t="s">
        <v>16</v>
      </c>
      <c r="N2" s="4" t="s">
        <v>17</v>
      </c>
      <c r="O2" s="4" t="s">
        <v>16</v>
      </c>
    </row>
    <row r="3" spans="1:15" x14ac:dyDescent="0.25">
      <c r="B3" s="7" t="s">
        <v>83</v>
      </c>
      <c r="C3" s="7" t="s">
        <v>84</v>
      </c>
      <c r="D3" s="7" t="s">
        <v>81</v>
      </c>
      <c r="E3" s="7" t="s">
        <v>77</v>
      </c>
      <c r="F3" s="7" t="s">
        <v>74</v>
      </c>
      <c r="G3" s="7" t="s">
        <v>74</v>
      </c>
      <c r="H3" s="7" t="s">
        <v>74</v>
      </c>
      <c r="I3" s="7" t="s">
        <v>74</v>
      </c>
      <c r="J3" s="7" t="s">
        <v>85</v>
      </c>
      <c r="K3" s="7" t="s">
        <v>74</v>
      </c>
      <c r="L3" s="7" t="s">
        <v>74</v>
      </c>
      <c r="M3" s="7" t="s">
        <v>85</v>
      </c>
      <c r="N3" s="7" t="s">
        <v>86</v>
      </c>
      <c r="O3" s="7" t="s">
        <v>75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4"/>
  <dimension ref="A1:L2"/>
  <sheetViews>
    <sheetView workbookViewId="0">
      <selection activeCell="N5" sqref="N5"/>
    </sheetView>
  </sheetViews>
  <sheetFormatPr defaultRowHeight="15" x14ac:dyDescent="0.25"/>
  <cols>
    <col min="1" max="3" width="11" style="8" customWidth="1"/>
    <col min="4" max="4" width="12.875" style="8" customWidth="1"/>
    <col min="5" max="12" width="11" style="8" customWidth="1"/>
    <col min="13" max="16384" width="9" style="1"/>
  </cols>
  <sheetData>
    <row r="1" spans="1:12" ht="47.85" customHeight="1" x14ac:dyDescent="0.25">
      <c r="A1" s="26" t="s">
        <v>52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s="3" customFormat="1" ht="84" x14ac:dyDescent="0.2">
      <c r="A2" s="4"/>
      <c r="B2" s="4" t="s">
        <v>0</v>
      </c>
      <c r="C2" s="4" t="s">
        <v>1</v>
      </c>
      <c r="D2" s="4" t="s">
        <v>4</v>
      </c>
      <c r="E2" s="4" t="s">
        <v>3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8</v>
      </c>
      <c r="L2" s="4" t="s">
        <v>9</v>
      </c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4" name="Button 1">
              <controlPr defaultSize="0" print="0" autoFill="0" autoPict="0" macro="[0]!Botão1_PgDIRF">
                <anchor moveWithCells="1" sizeWithCells="1">
                  <from>
                    <xdr:col>12</xdr:col>
                    <xdr:colOff>304800</xdr:colOff>
                    <xdr:row>0</xdr:row>
                    <xdr:rowOff>447675</xdr:rowOff>
                  </from>
                  <to>
                    <xdr:col>13</xdr:col>
                    <xdr:colOff>628650</xdr:colOff>
                    <xdr:row>1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2"/>
  <dimension ref="A1:I3"/>
  <sheetViews>
    <sheetView topLeftCell="B1" workbookViewId="0">
      <selection activeCell="I3" sqref="I3"/>
    </sheetView>
  </sheetViews>
  <sheetFormatPr defaultRowHeight="15" x14ac:dyDescent="0.25"/>
  <cols>
    <col min="1" max="1" width="10" style="7" hidden="1" customWidth="1"/>
    <col min="2" max="2" width="10.5" style="7" bestFit="1" customWidth="1"/>
    <col min="3" max="3" width="30.625" style="7" bestFit="1" customWidth="1"/>
    <col min="4" max="4" width="4.25" style="7" bestFit="1" customWidth="1"/>
    <col min="5" max="5" width="7.875" style="7" bestFit="1" customWidth="1"/>
    <col min="6" max="6" width="5.625" style="7" bestFit="1" customWidth="1"/>
    <col min="7" max="7" width="7.875" style="7" bestFit="1" customWidth="1"/>
    <col min="8" max="8" width="31.75" style="7" bestFit="1" customWidth="1"/>
    <col min="9" max="16384" width="9" style="2"/>
  </cols>
  <sheetData>
    <row r="1" spans="1:9" ht="45.75" customHeight="1" x14ac:dyDescent="0.25">
      <c r="A1" s="29" t="s">
        <v>51</v>
      </c>
      <c r="B1" s="30"/>
      <c r="C1" s="30"/>
      <c r="D1" s="30"/>
      <c r="E1" s="30"/>
      <c r="F1" s="30"/>
      <c r="G1" s="30"/>
      <c r="H1" s="30"/>
    </row>
    <row r="2" spans="1:9" ht="45" customHeight="1" x14ac:dyDescent="0.25">
      <c r="A2" s="4"/>
      <c r="B2" s="4" t="s">
        <v>0</v>
      </c>
      <c r="C2" s="4" t="s">
        <v>23</v>
      </c>
      <c r="D2" s="4" t="s">
        <v>2</v>
      </c>
      <c r="E2" s="4" t="s">
        <v>24</v>
      </c>
      <c r="F2" s="4" t="s">
        <v>25</v>
      </c>
      <c r="G2" s="4" t="s">
        <v>26</v>
      </c>
      <c r="H2" s="4" t="s">
        <v>27</v>
      </c>
    </row>
    <row r="3" spans="1:9" x14ac:dyDescent="0.25">
      <c r="B3" s="7" t="s">
        <v>77</v>
      </c>
      <c r="C3" s="7" t="s">
        <v>78</v>
      </c>
      <c r="D3" s="7" t="s">
        <v>79</v>
      </c>
      <c r="E3" s="7" t="s">
        <v>80</v>
      </c>
      <c r="F3" s="7" t="s">
        <v>81</v>
      </c>
      <c r="G3" s="7" t="s">
        <v>80</v>
      </c>
      <c r="H3" s="7" t="s">
        <v>82</v>
      </c>
      <c r="I3" s="2" t="s">
        <v>75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3" name="Button 1">
              <controlPr defaultSize="0" print="0" autoFill="0" autoPict="0" macro="[0]!Botão1_PgDIRF">
                <anchor moveWithCells="1" sizeWithCells="1">
                  <from>
                    <xdr:col>8</xdr:col>
                    <xdr:colOff>285750</xdr:colOff>
                    <xdr:row>0</xdr:row>
                    <xdr:rowOff>219075</xdr:rowOff>
                  </from>
                  <to>
                    <xdr:col>9</xdr:col>
                    <xdr:colOff>609600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3"/>
  <dimension ref="A1:F3"/>
  <sheetViews>
    <sheetView topLeftCell="B1" workbookViewId="0">
      <selection activeCell="E11" sqref="E11"/>
    </sheetView>
  </sheetViews>
  <sheetFormatPr defaultRowHeight="15" x14ac:dyDescent="0.25"/>
  <cols>
    <col min="1" max="1" width="9" style="2" hidden="1" customWidth="1"/>
    <col min="2" max="2" width="10" style="7" customWidth="1"/>
    <col min="3" max="3" width="11" style="7" customWidth="1"/>
    <col min="4" max="4" width="10.25" style="7" customWidth="1"/>
    <col min="5" max="5" width="13" style="7" customWidth="1"/>
    <col min="6" max="6" width="15" style="7" customWidth="1"/>
    <col min="7" max="16384" width="9" style="1"/>
  </cols>
  <sheetData>
    <row r="1" spans="1:6" ht="45.75" customHeight="1" x14ac:dyDescent="0.25">
      <c r="A1" s="11"/>
      <c r="B1" s="31" t="s">
        <v>71</v>
      </c>
      <c r="C1" s="32"/>
      <c r="D1" s="32"/>
      <c r="E1" s="32"/>
      <c r="F1" s="33"/>
    </row>
    <row r="2" spans="1:6" ht="45" customHeight="1" x14ac:dyDescent="0.25">
      <c r="B2" s="4" t="s">
        <v>18</v>
      </c>
      <c r="C2" s="4" t="s">
        <v>19</v>
      </c>
      <c r="D2" s="4" t="s">
        <v>20</v>
      </c>
      <c r="E2" s="5" t="s">
        <v>21</v>
      </c>
      <c r="F2" s="4" t="s">
        <v>22</v>
      </c>
    </row>
    <row r="3" spans="1:6" x14ac:dyDescent="0.25">
      <c r="B3" s="7" t="s">
        <v>73</v>
      </c>
      <c r="C3" s="7" t="s">
        <v>73</v>
      </c>
      <c r="D3" s="7" t="s">
        <v>74</v>
      </c>
      <c r="E3" s="7" t="s">
        <v>75</v>
      </c>
      <c r="F3" s="7" t="s">
        <v>76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DC" dvAspect="DVASPECT_ICON" shapeId="32775" r:id="rId4">
          <objectPr defaultSize="0" r:id="rId5">
            <anchor moveWithCells="1">
              <from>
                <xdr:col>7</xdr:col>
                <xdr:colOff>95250</xdr:colOff>
                <xdr:row>3</xdr:row>
                <xdr:rowOff>38100</xdr:rowOff>
              </from>
              <to>
                <xdr:col>8</xdr:col>
                <xdr:colOff>323850</xdr:colOff>
                <xdr:row>6</xdr:row>
                <xdr:rowOff>152400</xdr:rowOff>
              </to>
            </anchor>
          </objectPr>
        </oleObject>
      </mc:Choice>
      <mc:Fallback>
        <oleObject progId="AcroExch.Document.DC" dvAspect="DVASPECT_ICON" shapeId="3277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6" name="Button 1">
              <controlPr defaultSize="0" print="0" autoFill="0" autoPict="0" macro="[0]!Planilha33.ImportarTexto">
                <anchor moveWithCells="1" sizeWithCells="1">
                  <from>
                    <xdr:col>6</xdr:col>
                    <xdr:colOff>676275</xdr:colOff>
                    <xdr:row>0</xdr:row>
                    <xdr:rowOff>142875</xdr:rowOff>
                  </from>
                  <to>
                    <xdr:col>12</xdr:col>
                    <xdr:colOff>19050</xdr:colOff>
                    <xdr:row>1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52</vt:i4>
      </vt:variant>
    </vt:vector>
  </HeadingPairs>
  <TitlesOfParts>
    <vt:vector size="52" baseType="lpstr">
      <vt:lpstr>FIMDIRF</vt:lpstr>
      <vt:lpstr>RDTPSE</vt:lpstr>
      <vt:lpstr>DTPSE</vt:lpstr>
      <vt:lpstr>TPSE</vt:lpstr>
      <vt:lpstr>OPSE</vt:lpstr>
      <vt:lpstr>RIRSR</vt:lpstr>
      <vt:lpstr>RIPSTS</vt:lpstr>
      <vt:lpstr>RIL96</vt:lpstr>
      <vt:lpstr>RIBMR_3562</vt:lpstr>
      <vt:lpstr>RIAP_3562</vt:lpstr>
      <vt:lpstr>RIIRP_3562</vt:lpstr>
      <vt:lpstr>RIDAC_3562</vt:lpstr>
      <vt:lpstr>ESDJ_3562</vt:lpstr>
      <vt:lpstr>ESIR_3562</vt:lpstr>
      <vt:lpstr>ESPA_3562</vt:lpstr>
      <vt:lpstr>ESDP_3562</vt:lpstr>
      <vt:lpstr>ESPP_3562</vt:lpstr>
      <vt:lpstr>ESPO_3562</vt:lpstr>
      <vt:lpstr>ESRT_3562</vt:lpstr>
      <vt:lpstr>CJAA_3562</vt:lpstr>
      <vt:lpstr>CJAC_3562</vt:lpstr>
      <vt:lpstr>RTIRF_3562</vt:lpstr>
      <vt:lpstr>RTPA_3562</vt:lpstr>
      <vt:lpstr>RTDP_3562</vt:lpstr>
      <vt:lpstr>RTRT_3562</vt:lpstr>
      <vt:lpstr>BPFDEC_3562</vt:lpstr>
      <vt:lpstr>RIBMR_0561</vt:lpstr>
      <vt:lpstr>RIAP_0561</vt:lpstr>
      <vt:lpstr>RIIRP_0561</vt:lpstr>
      <vt:lpstr>RIDAC_0561</vt:lpstr>
      <vt:lpstr>ESDJ_0561</vt:lpstr>
      <vt:lpstr>ESPA_0561</vt:lpstr>
      <vt:lpstr>ESDP_0561</vt:lpstr>
      <vt:lpstr>ESPP_0561</vt:lpstr>
      <vt:lpstr>ESPO_0561</vt:lpstr>
      <vt:lpstr>ESIR__0561</vt:lpstr>
      <vt:lpstr>ESRT_0561</vt:lpstr>
      <vt:lpstr>CJAA_0561</vt:lpstr>
      <vt:lpstr>CJAC_0561</vt:lpstr>
      <vt:lpstr>RTIRF_0561</vt:lpstr>
      <vt:lpstr>RTPA_0561</vt:lpstr>
      <vt:lpstr>RTDP_0561</vt:lpstr>
      <vt:lpstr>RTPP_0561</vt:lpstr>
      <vt:lpstr>RTPO_0561</vt:lpstr>
      <vt:lpstr>RTRT_0561</vt:lpstr>
      <vt:lpstr>BPJDEC</vt:lpstr>
      <vt:lpstr>BPFDEC_0561</vt:lpstr>
      <vt:lpstr>IDREC</vt:lpstr>
      <vt:lpstr>DECPJ</vt:lpstr>
      <vt:lpstr>DECPF</vt:lpstr>
      <vt:lpstr>RESPO</vt:lpstr>
      <vt:lpstr>DIRF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Gerson Pinto Amarante</dc:creator>
  <cp:lastModifiedBy>Gerson Pinto Amarante</cp:lastModifiedBy>
  <cp:lastPrinted>2017-01-17T18:58:23Z</cp:lastPrinted>
  <dcterms:created xsi:type="dcterms:W3CDTF">2017-01-17T18:31:29Z</dcterms:created>
  <dcterms:modified xsi:type="dcterms:W3CDTF">2017-02-07T13:21:24Z</dcterms:modified>
</cp:coreProperties>
</file>